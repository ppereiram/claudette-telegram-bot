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blo\Downloads\Material ICONNIA\Anteproyecto Torre B\"/>
    </mc:Choice>
  </mc:AlternateContent>
  <xr:revisionPtr revIDLastSave="0" documentId="13_ncr:1_{A352DA43-5F8A-4391-AB0D-9B67AC5120CA}" xr6:coauthVersionLast="47" xr6:coauthVersionMax="47" xr10:uidLastSave="{00000000-0000-0000-0000-000000000000}"/>
  <bookViews>
    <workbookView xWindow="14295" yWindow="-16395" windowWidth="29040" windowHeight="16440" xr2:uid="{00000000-000D-0000-FFFF-FFFF00000000}"/>
  </bookViews>
  <sheets>
    <sheet name="Hoja1" sheetId="1" r:id="rId1"/>
  </sheets>
  <definedNames>
    <definedName name="_xlnm.Print_Area" localSheetId="0">Hoja1!$B$1:$AB$883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887" i="1" l="1"/>
  <c r="AA886" i="1"/>
  <c r="AB853" i="1"/>
  <c r="T877" i="1"/>
  <c r="Z862" i="1"/>
  <c r="Z849" i="1"/>
  <c r="AD847" i="1" l="1"/>
  <c r="AD848" i="1"/>
  <c r="AD849" i="1"/>
  <c r="AD850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46" i="1"/>
  <c r="U397" i="1" l="1"/>
  <c r="U396" i="1"/>
  <c r="U395" i="1"/>
  <c r="U394" i="1"/>
  <c r="U393" i="1"/>
  <c r="U392" i="1"/>
  <c r="U391" i="1"/>
  <c r="U390" i="1"/>
  <c r="U389" i="1"/>
  <c r="U388" i="1"/>
  <c r="U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AA850" i="1" l="1"/>
  <c r="AA407" i="1"/>
  <c r="Z267" i="1" l="1"/>
  <c r="AA858" i="1" l="1"/>
  <c r="AA425" i="1" l="1"/>
  <c r="AA426" i="1"/>
  <c r="AA427" i="1"/>
  <c r="AA868" i="1"/>
  <c r="AA869" i="1"/>
  <c r="AA870" i="1"/>
  <c r="Z840" i="1" l="1"/>
  <c r="Z386" i="1" l="1"/>
  <c r="Z387" i="1"/>
  <c r="Z388" i="1"/>
  <c r="Z389" i="1"/>
  <c r="Z390" i="1"/>
  <c r="Z391" i="1"/>
  <c r="Z392" i="1"/>
  <c r="Z393" i="1"/>
  <c r="AA848" i="1" l="1"/>
  <c r="AA864" i="1"/>
  <c r="AA865" i="1"/>
  <c r="AA866" i="1"/>
  <c r="AA867" i="1"/>
  <c r="AA871" i="1"/>
  <c r="AA872" i="1"/>
  <c r="AA405" i="1"/>
  <c r="AA429" i="1"/>
  <c r="Z379" i="1" l="1"/>
  <c r="Z380" i="1"/>
  <c r="Z381" i="1"/>
  <c r="Z382" i="1"/>
  <c r="Z383" i="1"/>
  <c r="Z384" i="1"/>
  <c r="Z385" i="1"/>
  <c r="Z394" i="1"/>
  <c r="Z395" i="1"/>
  <c r="Z396" i="1"/>
  <c r="Z397" i="1"/>
  <c r="Z398" i="1"/>
  <c r="AA415" i="1" l="1"/>
  <c r="W399" i="1" l="1"/>
  <c r="X399" i="1"/>
  <c r="Y399" i="1"/>
  <c r="AA423" i="1" l="1"/>
  <c r="AA412" i="1"/>
  <c r="AA413" i="1"/>
  <c r="AA414" i="1"/>
  <c r="AA416" i="1"/>
  <c r="AA417" i="1"/>
  <c r="AA418" i="1"/>
  <c r="AA419" i="1"/>
  <c r="AA420" i="1"/>
  <c r="AA421" i="1"/>
  <c r="AA422" i="1"/>
  <c r="AA424" i="1"/>
  <c r="AA428" i="1"/>
  <c r="AA411" i="1"/>
  <c r="AA406" i="1"/>
  <c r="AA854" i="1"/>
  <c r="AA855" i="1"/>
  <c r="AA856" i="1"/>
  <c r="AA849" i="1"/>
  <c r="AA410" i="1"/>
  <c r="AA404" i="1"/>
  <c r="AA403" i="1"/>
  <c r="AA857" i="1"/>
  <c r="AA859" i="1"/>
  <c r="AA860" i="1"/>
  <c r="AA861" i="1"/>
  <c r="AA862" i="1"/>
  <c r="AA863" i="1"/>
  <c r="AA853" i="1"/>
  <c r="AA847" i="1"/>
  <c r="AA84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1" i="1"/>
  <c r="AB846" i="1" l="1"/>
  <c r="AB403" i="1"/>
  <c r="AB410" i="1"/>
  <c r="W842" i="1"/>
  <c r="W877" i="1" s="1"/>
  <c r="X842" i="1"/>
  <c r="X877" i="1" s="1"/>
  <c r="Z879" i="1" l="1"/>
  <c r="Z878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Z436" i="1"/>
  <c r="AA841" i="1" s="1"/>
  <c r="Z842" i="1" l="1"/>
  <c r="AA879" i="1" l="1"/>
  <c r="I399" i="1"/>
  <c r="I877" i="1" s="1"/>
  <c r="J399" i="1"/>
  <c r="J877" i="1" s="1"/>
  <c r="K399" i="1"/>
  <c r="K877" i="1" s="1"/>
  <c r="L399" i="1"/>
  <c r="L877" i="1" s="1"/>
  <c r="M399" i="1"/>
  <c r="M877" i="1" s="1"/>
  <c r="N399" i="1"/>
  <c r="N877" i="1" s="1"/>
  <c r="O399" i="1"/>
  <c r="O877" i="1" s="1"/>
  <c r="P399" i="1"/>
  <c r="P877" i="1" s="1"/>
  <c r="Q399" i="1"/>
  <c r="Q877" i="1" s="1"/>
  <c r="R399" i="1"/>
  <c r="R877" i="1" s="1"/>
  <c r="S399" i="1"/>
  <c r="S877" i="1" s="1"/>
  <c r="T399" i="1"/>
  <c r="U399" i="1"/>
  <c r="U877" i="1" s="1"/>
  <c r="V399" i="1"/>
  <c r="V877" i="1" s="1"/>
  <c r="Y877" i="1"/>
  <c r="AB882" i="1"/>
  <c r="AA878" i="1"/>
  <c r="Z6" i="1" l="1"/>
  <c r="AA398" i="1" s="1"/>
  <c r="F399" i="1"/>
  <c r="F877" i="1" s="1"/>
  <c r="G399" i="1"/>
  <c r="G877" i="1" s="1"/>
  <c r="H399" i="1"/>
  <c r="H877" i="1" s="1"/>
  <c r="E399" i="1"/>
  <c r="E877" i="1" s="1"/>
  <c r="Z877" i="1" l="1"/>
  <c r="AA877" i="1" s="1"/>
  <c r="Z399" i="1"/>
  <c r="AB841" i="1" l="1"/>
  <c r="AB436" i="1"/>
  <c r="AB448" i="1"/>
  <c r="AB460" i="1"/>
  <c r="AB472" i="1"/>
  <c r="AB484" i="1"/>
  <c r="AB496" i="1"/>
  <c r="AB508" i="1"/>
  <c r="AB520" i="1"/>
  <c r="AB532" i="1"/>
  <c r="AB544" i="1"/>
  <c r="AB556" i="1"/>
  <c r="AB568" i="1"/>
  <c r="AB580" i="1"/>
  <c r="AB592" i="1"/>
  <c r="AB604" i="1"/>
  <c r="AB616" i="1"/>
  <c r="AB628" i="1"/>
  <c r="AB640" i="1"/>
  <c r="AB652" i="1"/>
  <c r="AB664" i="1"/>
  <c r="AB676" i="1"/>
  <c r="AB688" i="1"/>
  <c r="AB700" i="1"/>
  <c r="AB712" i="1"/>
  <c r="AB724" i="1"/>
  <c r="AB736" i="1"/>
  <c r="AB748" i="1"/>
  <c r="AB760" i="1"/>
  <c r="AB772" i="1"/>
  <c r="AB784" i="1"/>
  <c r="AB796" i="1"/>
  <c r="AB808" i="1"/>
  <c r="AB820" i="1"/>
  <c r="AB832" i="1"/>
  <c r="AB449" i="1"/>
  <c r="AB557" i="1"/>
  <c r="AB581" i="1"/>
  <c r="AB617" i="1"/>
  <c r="AB641" i="1"/>
  <c r="AB665" i="1"/>
  <c r="AB677" i="1"/>
  <c r="AB701" i="1"/>
  <c r="AB725" i="1"/>
  <c r="AB749" i="1"/>
  <c r="AB773" i="1"/>
  <c r="AB797" i="1"/>
  <c r="AB821" i="1"/>
  <c r="AB447" i="1"/>
  <c r="AB639" i="1"/>
  <c r="AB819" i="1"/>
  <c r="AB437" i="1"/>
  <c r="AB461" i="1"/>
  <c r="AB473" i="1"/>
  <c r="AB485" i="1"/>
  <c r="AB497" i="1"/>
  <c r="AB509" i="1"/>
  <c r="AB521" i="1"/>
  <c r="AB533" i="1"/>
  <c r="AB545" i="1"/>
  <c r="AB569" i="1"/>
  <c r="AB593" i="1"/>
  <c r="AB605" i="1"/>
  <c r="AB629" i="1"/>
  <c r="AB653" i="1"/>
  <c r="AB689" i="1"/>
  <c r="AB713" i="1"/>
  <c r="AB737" i="1"/>
  <c r="AB761" i="1"/>
  <c r="AB785" i="1"/>
  <c r="AB809" i="1"/>
  <c r="AB833" i="1"/>
  <c r="AB471" i="1"/>
  <c r="AB687" i="1"/>
  <c r="AB438" i="1"/>
  <c r="AB450" i="1"/>
  <c r="AB462" i="1"/>
  <c r="AB474" i="1"/>
  <c r="AB486" i="1"/>
  <c r="AB498" i="1"/>
  <c r="AB510" i="1"/>
  <c r="AB522" i="1"/>
  <c r="AB534" i="1"/>
  <c r="AB546" i="1"/>
  <c r="AB558" i="1"/>
  <c r="AB570" i="1"/>
  <c r="AB582" i="1"/>
  <c r="AB594" i="1"/>
  <c r="AB606" i="1"/>
  <c r="AB618" i="1"/>
  <c r="AB630" i="1"/>
  <c r="AB642" i="1"/>
  <c r="AB654" i="1"/>
  <c r="AB666" i="1"/>
  <c r="AB678" i="1"/>
  <c r="AB690" i="1"/>
  <c r="AB702" i="1"/>
  <c r="AB714" i="1"/>
  <c r="AB726" i="1"/>
  <c r="AB738" i="1"/>
  <c r="AB750" i="1"/>
  <c r="AB762" i="1"/>
  <c r="AB774" i="1"/>
  <c r="AB786" i="1"/>
  <c r="AB798" i="1"/>
  <c r="AB810" i="1"/>
  <c r="AB822" i="1"/>
  <c r="AB834" i="1"/>
  <c r="AB561" i="1"/>
  <c r="AB657" i="1"/>
  <c r="AB729" i="1"/>
  <c r="AB777" i="1"/>
  <c r="AB825" i="1"/>
  <c r="AB732" i="1"/>
  <c r="AB780" i="1"/>
  <c r="AB806" i="1"/>
  <c r="AB519" i="1"/>
  <c r="AB663" i="1"/>
  <c r="AB783" i="1"/>
  <c r="AB439" i="1"/>
  <c r="AB451" i="1"/>
  <c r="AB463" i="1"/>
  <c r="AB475" i="1"/>
  <c r="AB487" i="1"/>
  <c r="AB499" i="1"/>
  <c r="AB511" i="1"/>
  <c r="AB523" i="1"/>
  <c r="AB535" i="1"/>
  <c r="AB547" i="1"/>
  <c r="AB559" i="1"/>
  <c r="AB571" i="1"/>
  <c r="AB583" i="1"/>
  <c r="AB595" i="1"/>
  <c r="AB607" i="1"/>
  <c r="AB619" i="1"/>
  <c r="AB631" i="1"/>
  <c r="AB643" i="1"/>
  <c r="AB655" i="1"/>
  <c r="AB667" i="1"/>
  <c r="AB679" i="1"/>
  <c r="AB691" i="1"/>
  <c r="AB703" i="1"/>
  <c r="AB715" i="1"/>
  <c r="AB727" i="1"/>
  <c r="AB739" i="1"/>
  <c r="AB751" i="1"/>
  <c r="AB763" i="1"/>
  <c r="AB775" i="1"/>
  <c r="AB787" i="1"/>
  <c r="AB799" i="1"/>
  <c r="AB811" i="1"/>
  <c r="AB823" i="1"/>
  <c r="AB835" i="1"/>
  <c r="AB836" i="1"/>
  <c r="AB585" i="1"/>
  <c r="AB681" i="1"/>
  <c r="AB717" i="1"/>
  <c r="AB765" i="1"/>
  <c r="AB801" i="1"/>
  <c r="AB720" i="1"/>
  <c r="AB768" i="1"/>
  <c r="AB758" i="1"/>
  <c r="AB507" i="1"/>
  <c r="AB699" i="1"/>
  <c r="AB795" i="1"/>
  <c r="AB440" i="1"/>
  <c r="AB452" i="1"/>
  <c r="AB464" i="1"/>
  <c r="AB476" i="1"/>
  <c r="AB488" i="1"/>
  <c r="AB500" i="1"/>
  <c r="AB512" i="1"/>
  <c r="AB524" i="1"/>
  <c r="AB536" i="1"/>
  <c r="AB548" i="1"/>
  <c r="AB560" i="1"/>
  <c r="AB572" i="1"/>
  <c r="AB584" i="1"/>
  <c r="AB596" i="1"/>
  <c r="AB608" i="1"/>
  <c r="AB620" i="1"/>
  <c r="AB632" i="1"/>
  <c r="AB644" i="1"/>
  <c r="AB656" i="1"/>
  <c r="AB668" i="1"/>
  <c r="AB680" i="1"/>
  <c r="AB692" i="1"/>
  <c r="AB704" i="1"/>
  <c r="AB716" i="1"/>
  <c r="AB728" i="1"/>
  <c r="AB740" i="1"/>
  <c r="AB752" i="1"/>
  <c r="AB764" i="1"/>
  <c r="AB776" i="1"/>
  <c r="AB788" i="1"/>
  <c r="AB800" i="1"/>
  <c r="AB812" i="1"/>
  <c r="AB824" i="1"/>
  <c r="AB609" i="1"/>
  <c r="AB693" i="1"/>
  <c r="AB741" i="1"/>
  <c r="AB789" i="1"/>
  <c r="AB837" i="1"/>
  <c r="AB744" i="1"/>
  <c r="AB816" i="1"/>
  <c r="AB818" i="1"/>
  <c r="AB483" i="1"/>
  <c r="AB603" i="1"/>
  <c r="AB759" i="1"/>
  <c r="AB441" i="1"/>
  <c r="AB453" i="1"/>
  <c r="AB465" i="1"/>
  <c r="AB477" i="1"/>
  <c r="AB489" i="1"/>
  <c r="AB501" i="1"/>
  <c r="AB513" i="1"/>
  <c r="AB525" i="1"/>
  <c r="AB537" i="1"/>
  <c r="AB549" i="1"/>
  <c r="AB573" i="1"/>
  <c r="AB597" i="1"/>
  <c r="AB621" i="1"/>
  <c r="AB633" i="1"/>
  <c r="AB645" i="1"/>
  <c r="AB669" i="1"/>
  <c r="AB705" i="1"/>
  <c r="AB753" i="1"/>
  <c r="AB813" i="1"/>
  <c r="AB708" i="1"/>
  <c r="AB804" i="1"/>
  <c r="AB782" i="1"/>
  <c r="AB531" i="1"/>
  <c r="AB627" i="1"/>
  <c r="AB747" i="1"/>
  <c r="AB442" i="1"/>
  <c r="AB454" i="1"/>
  <c r="AB466" i="1"/>
  <c r="AB478" i="1"/>
  <c r="AB490" i="1"/>
  <c r="AB502" i="1"/>
  <c r="AB514" i="1"/>
  <c r="AB526" i="1"/>
  <c r="AB538" i="1"/>
  <c r="AB550" i="1"/>
  <c r="AB562" i="1"/>
  <c r="AB574" i="1"/>
  <c r="AB586" i="1"/>
  <c r="AB598" i="1"/>
  <c r="AB610" i="1"/>
  <c r="AB622" i="1"/>
  <c r="AB634" i="1"/>
  <c r="AB646" i="1"/>
  <c r="AB658" i="1"/>
  <c r="AB670" i="1"/>
  <c r="AB682" i="1"/>
  <c r="AB694" i="1"/>
  <c r="AB706" i="1"/>
  <c r="AB718" i="1"/>
  <c r="AB730" i="1"/>
  <c r="AB742" i="1"/>
  <c r="AB754" i="1"/>
  <c r="AB766" i="1"/>
  <c r="AB778" i="1"/>
  <c r="AB790" i="1"/>
  <c r="AB802" i="1"/>
  <c r="AB814" i="1"/>
  <c r="AB826" i="1"/>
  <c r="AB838" i="1"/>
  <c r="AB623" i="1"/>
  <c r="AB683" i="1"/>
  <c r="AB707" i="1"/>
  <c r="AB731" i="1"/>
  <c r="AB755" i="1"/>
  <c r="AB779" i="1"/>
  <c r="AB803" i="1"/>
  <c r="AB827" i="1"/>
  <c r="AB660" i="1"/>
  <c r="AB792" i="1"/>
  <c r="AB459" i="1"/>
  <c r="AB651" i="1"/>
  <c r="AB831" i="1"/>
  <c r="AB443" i="1"/>
  <c r="AB455" i="1"/>
  <c r="AB467" i="1"/>
  <c r="AB479" i="1"/>
  <c r="AB491" i="1"/>
  <c r="AB503" i="1"/>
  <c r="AB515" i="1"/>
  <c r="AB527" i="1"/>
  <c r="AB539" i="1"/>
  <c r="AB551" i="1"/>
  <c r="AB563" i="1"/>
  <c r="AB575" i="1"/>
  <c r="AB587" i="1"/>
  <c r="AB599" i="1"/>
  <c r="AB611" i="1"/>
  <c r="AB635" i="1"/>
  <c r="AB647" i="1"/>
  <c r="AB659" i="1"/>
  <c r="AB671" i="1"/>
  <c r="AB695" i="1"/>
  <c r="AB719" i="1"/>
  <c r="AB743" i="1"/>
  <c r="AB767" i="1"/>
  <c r="AB791" i="1"/>
  <c r="AB815" i="1"/>
  <c r="AB839" i="1"/>
  <c r="AB684" i="1"/>
  <c r="AB840" i="1"/>
  <c r="AB555" i="1"/>
  <c r="AB723" i="1"/>
  <c r="AB807" i="1"/>
  <c r="AB444" i="1"/>
  <c r="AB456" i="1"/>
  <c r="AB468" i="1"/>
  <c r="AB480" i="1"/>
  <c r="AB492" i="1"/>
  <c r="AB504" i="1"/>
  <c r="AB516" i="1"/>
  <c r="AB528" i="1"/>
  <c r="AB540" i="1"/>
  <c r="AB552" i="1"/>
  <c r="AB564" i="1"/>
  <c r="AB576" i="1"/>
  <c r="AB588" i="1"/>
  <c r="AB600" i="1"/>
  <c r="AB612" i="1"/>
  <c r="AB624" i="1"/>
  <c r="AB636" i="1"/>
  <c r="AB648" i="1"/>
  <c r="AB672" i="1"/>
  <c r="AB696" i="1"/>
  <c r="AB756" i="1"/>
  <c r="AB828" i="1"/>
  <c r="AB794" i="1"/>
  <c r="AB567" i="1"/>
  <c r="AB579" i="1"/>
  <c r="AB615" i="1"/>
  <c r="AB735" i="1"/>
  <c r="AB445" i="1"/>
  <c r="AB457" i="1"/>
  <c r="AB469" i="1"/>
  <c r="AB481" i="1"/>
  <c r="AB493" i="1"/>
  <c r="AB505" i="1"/>
  <c r="AB517" i="1"/>
  <c r="AB529" i="1"/>
  <c r="AB541" i="1"/>
  <c r="AB553" i="1"/>
  <c r="AB565" i="1"/>
  <c r="AB577" i="1"/>
  <c r="AB589" i="1"/>
  <c r="AB601" i="1"/>
  <c r="AB613" i="1"/>
  <c r="AB625" i="1"/>
  <c r="AB637" i="1"/>
  <c r="AB649" i="1"/>
  <c r="AB661" i="1"/>
  <c r="AB673" i="1"/>
  <c r="AB685" i="1"/>
  <c r="AB697" i="1"/>
  <c r="AB709" i="1"/>
  <c r="AB721" i="1"/>
  <c r="AB733" i="1"/>
  <c r="AB745" i="1"/>
  <c r="AB757" i="1"/>
  <c r="AB769" i="1"/>
  <c r="AB781" i="1"/>
  <c r="AB793" i="1"/>
  <c r="AB805" i="1"/>
  <c r="AB817" i="1"/>
  <c r="AB829" i="1"/>
  <c r="AB746" i="1"/>
  <c r="AB495" i="1"/>
  <c r="AB711" i="1"/>
  <c r="AB446" i="1"/>
  <c r="AB458" i="1"/>
  <c r="AB470" i="1"/>
  <c r="AB482" i="1"/>
  <c r="AB494" i="1"/>
  <c r="AB506" i="1"/>
  <c r="AB518" i="1"/>
  <c r="AB530" i="1"/>
  <c r="AB542" i="1"/>
  <c r="AB554" i="1"/>
  <c r="AB566" i="1"/>
  <c r="AB578" i="1"/>
  <c r="AB590" i="1"/>
  <c r="AB602" i="1"/>
  <c r="AB614" i="1"/>
  <c r="AB626" i="1"/>
  <c r="AB638" i="1"/>
  <c r="AB650" i="1"/>
  <c r="AB662" i="1"/>
  <c r="AB674" i="1"/>
  <c r="AB686" i="1"/>
  <c r="AB698" i="1"/>
  <c r="AB710" i="1"/>
  <c r="AB722" i="1"/>
  <c r="AB734" i="1"/>
  <c r="AB770" i="1"/>
  <c r="AB830" i="1"/>
  <c r="AB543" i="1"/>
  <c r="AB591" i="1"/>
  <c r="AB675" i="1"/>
  <c r="AB771" i="1"/>
  <c r="AA883" i="1"/>
  <c r="AB883" i="1" s="1"/>
  <c r="AB386" i="1"/>
  <c r="AB387" i="1"/>
  <c r="AB389" i="1"/>
  <c r="AB391" i="1"/>
  <c r="AB390" i="1"/>
  <c r="AB388" i="1"/>
  <c r="AB393" i="1"/>
  <c r="AB392" i="1"/>
  <c r="AB395" i="1"/>
  <c r="AB394" i="1"/>
  <c r="AB385" i="1"/>
  <c r="AB381" i="1"/>
  <c r="AB396" i="1"/>
  <c r="AB384" i="1"/>
  <c r="AB380" i="1"/>
  <c r="AB397" i="1"/>
  <c r="AB398" i="1"/>
  <c r="AB382" i="1"/>
  <c r="AB383" i="1"/>
  <c r="AB379" i="1"/>
  <c r="AB7" i="1"/>
  <c r="AB14" i="1"/>
  <c r="AB22" i="1"/>
  <c r="AB30" i="1"/>
  <c r="AB35" i="1"/>
  <c r="AB43" i="1"/>
  <c r="AB51" i="1"/>
  <c r="AB59" i="1"/>
  <c r="AB67" i="1"/>
  <c r="AB75" i="1"/>
  <c r="AB83" i="1"/>
  <c r="AB88" i="1"/>
  <c r="AB96" i="1"/>
  <c r="AB104" i="1"/>
  <c r="AB112" i="1"/>
  <c r="AB120" i="1"/>
  <c r="AB128" i="1"/>
  <c r="AB136" i="1"/>
  <c r="AB149" i="1"/>
  <c r="AB157" i="1"/>
  <c r="AB165" i="1"/>
  <c r="AB173" i="1"/>
  <c r="AB181" i="1"/>
  <c r="AB189" i="1"/>
  <c r="AB197" i="1"/>
  <c r="AB202" i="1"/>
  <c r="AB210" i="1"/>
  <c r="AB218" i="1"/>
  <c r="AB226" i="1"/>
  <c r="AB234" i="1"/>
  <c r="AB242" i="1"/>
  <c r="AB247" i="1"/>
  <c r="AB255" i="1"/>
  <c r="AB263" i="1"/>
  <c r="AB271" i="1"/>
  <c r="AB279" i="1"/>
  <c r="AB284" i="1"/>
  <c r="AB292" i="1"/>
  <c r="AB300" i="1"/>
  <c r="AB308" i="1"/>
  <c r="AB316" i="1"/>
  <c r="AB324" i="1"/>
  <c r="AB332" i="1"/>
  <c r="AB340" i="1"/>
  <c r="AB344" i="1"/>
  <c r="AB352" i="1"/>
  <c r="AB360" i="1"/>
  <c r="AB368" i="1"/>
  <c r="AB376" i="1"/>
  <c r="AB57" i="1"/>
  <c r="AB73" i="1"/>
  <c r="AB118" i="1"/>
  <c r="AB171" i="1"/>
  <c r="AB224" i="1"/>
  <c r="AB277" i="1"/>
  <c r="AB330" i="1"/>
  <c r="AB6" i="1"/>
  <c r="AB15" i="1"/>
  <c r="AB23" i="1"/>
  <c r="AB31" i="1"/>
  <c r="AB36" i="1"/>
  <c r="AB44" i="1"/>
  <c r="AB52" i="1"/>
  <c r="AB60" i="1"/>
  <c r="AB68" i="1"/>
  <c r="AB76" i="1"/>
  <c r="AB84" i="1"/>
  <c r="AB89" i="1"/>
  <c r="AB97" i="1"/>
  <c r="AB105" i="1"/>
  <c r="AB113" i="1"/>
  <c r="AB121" i="1"/>
  <c r="AB129" i="1"/>
  <c r="AB137" i="1"/>
  <c r="AB150" i="1"/>
  <c r="AB158" i="1"/>
  <c r="AB166" i="1"/>
  <c r="AB174" i="1"/>
  <c r="AB182" i="1"/>
  <c r="AB190" i="1"/>
  <c r="AB198" i="1"/>
  <c r="AB203" i="1"/>
  <c r="AB211" i="1"/>
  <c r="AB219" i="1"/>
  <c r="AB227" i="1"/>
  <c r="AB235" i="1"/>
  <c r="AB243" i="1"/>
  <c r="AB248" i="1"/>
  <c r="AB256" i="1"/>
  <c r="AB264" i="1"/>
  <c r="AB272" i="1"/>
  <c r="AB280" i="1"/>
  <c r="AB285" i="1"/>
  <c r="AB293" i="1"/>
  <c r="AB301" i="1"/>
  <c r="AB309" i="1"/>
  <c r="AB317" i="1"/>
  <c r="AB325" i="1"/>
  <c r="AB333" i="1"/>
  <c r="AB345" i="1"/>
  <c r="AB353" i="1"/>
  <c r="AB361" i="1"/>
  <c r="AB369" i="1"/>
  <c r="AB377" i="1"/>
  <c r="AB41" i="1"/>
  <c r="AB81" i="1"/>
  <c r="AB142" i="1"/>
  <c r="AB200" i="1"/>
  <c r="AB269" i="1"/>
  <c r="AB322" i="1"/>
  <c r="AB374" i="1"/>
  <c r="AB8" i="1"/>
  <c r="AB16" i="1"/>
  <c r="AB24" i="1"/>
  <c r="AB32" i="1"/>
  <c r="AB37" i="1"/>
  <c r="AB45" i="1"/>
  <c r="AB53" i="1"/>
  <c r="AB61" i="1"/>
  <c r="AB69" i="1"/>
  <c r="AB77" i="1"/>
  <c r="AB85" i="1"/>
  <c r="AB90" i="1"/>
  <c r="AB98" i="1"/>
  <c r="AB106" i="1"/>
  <c r="AB114" i="1"/>
  <c r="AB122" i="1"/>
  <c r="AB130" i="1"/>
  <c r="AB138" i="1"/>
  <c r="AB151" i="1"/>
  <c r="AB159" i="1"/>
  <c r="AB167" i="1"/>
  <c r="AB175" i="1"/>
  <c r="AB183" i="1"/>
  <c r="AB191" i="1"/>
  <c r="AB199" i="1"/>
  <c r="AB204" i="1"/>
  <c r="AB212" i="1"/>
  <c r="AB220" i="1"/>
  <c r="AB228" i="1"/>
  <c r="AB236" i="1"/>
  <c r="AB249" i="1"/>
  <c r="AB257" i="1"/>
  <c r="AB265" i="1"/>
  <c r="AB273" i="1"/>
  <c r="AB281" i="1"/>
  <c r="AB286" i="1"/>
  <c r="AB294" i="1"/>
  <c r="AB302" i="1"/>
  <c r="AB310" i="1"/>
  <c r="AB318" i="1"/>
  <c r="AB326" i="1"/>
  <c r="AB334" i="1"/>
  <c r="AB346" i="1"/>
  <c r="AB354" i="1"/>
  <c r="AB362" i="1"/>
  <c r="AB370" i="1"/>
  <c r="AB378" i="1"/>
  <c r="AB126" i="1"/>
  <c r="AB187" i="1"/>
  <c r="AB245" i="1"/>
  <c r="AB306" i="1"/>
  <c r="AB366" i="1"/>
  <c r="AB9" i="1"/>
  <c r="AB17" i="1"/>
  <c r="AB25" i="1"/>
  <c r="AB33" i="1"/>
  <c r="AB38" i="1"/>
  <c r="AB46" i="1"/>
  <c r="AB54" i="1"/>
  <c r="AB62" i="1"/>
  <c r="AB70" i="1"/>
  <c r="AB78" i="1"/>
  <c r="AB86" i="1"/>
  <c r="AB91" i="1"/>
  <c r="AB99" i="1"/>
  <c r="AB107" i="1"/>
  <c r="AB115" i="1"/>
  <c r="AB123" i="1"/>
  <c r="AB131" i="1"/>
  <c r="AB139" i="1"/>
  <c r="AB144" i="1"/>
  <c r="AB152" i="1"/>
  <c r="AB160" i="1"/>
  <c r="AB168" i="1"/>
  <c r="AB176" i="1"/>
  <c r="AB184" i="1"/>
  <c r="AB192" i="1"/>
  <c r="AB205" i="1"/>
  <c r="AB213" i="1"/>
  <c r="AB221" i="1"/>
  <c r="AB229" i="1"/>
  <c r="AB237" i="1"/>
  <c r="AB250" i="1"/>
  <c r="AB258" i="1"/>
  <c r="AB266" i="1"/>
  <c r="AB274" i="1"/>
  <c r="AB282" i="1"/>
  <c r="AB287" i="1"/>
  <c r="AB295" i="1"/>
  <c r="AB303" i="1"/>
  <c r="AB311" i="1"/>
  <c r="AB319" i="1"/>
  <c r="AB327" i="1"/>
  <c r="AB335" i="1"/>
  <c r="AB347" i="1"/>
  <c r="AB355" i="1"/>
  <c r="AB363" i="1"/>
  <c r="AB371" i="1"/>
  <c r="AB28" i="1"/>
  <c r="AB102" i="1"/>
  <c r="AB147" i="1"/>
  <c r="AB195" i="1"/>
  <c r="AB240" i="1"/>
  <c r="AB358" i="1"/>
  <c r="AB10" i="1"/>
  <c r="AB18" i="1"/>
  <c r="AB26" i="1"/>
  <c r="AB39" i="1"/>
  <c r="AB47" i="1"/>
  <c r="AB55" i="1"/>
  <c r="AB63" i="1"/>
  <c r="AB71" i="1"/>
  <c r="AB79" i="1"/>
  <c r="AB87" i="1"/>
  <c r="AB92" i="1"/>
  <c r="AB100" i="1"/>
  <c r="AB108" i="1"/>
  <c r="AB116" i="1"/>
  <c r="AB124" i="1"/>
  <c r="AB132" i="1"/>
  <c r="AB140" i="1"/>
  <c r="AB145" i="1"/>
  <c r="AB153" i="1"/>
  <c r="AB161" i="1"/>
  <c r="AB169" i="1"/>
  <c r="AB177" i="1"/>
  <c r="AB185" i="1"/>
  <c r="AB193" i="1"/>
  <c r="AB206" i="1"/>
  <c r="AB214" i="1"/>
  <c r="AB222" i="1"/>
  <c r="AB230" i="1"/>
  <c r="AB238" i="1"/>
  <c r="AB251" i="1"/>
  <c r="AB259" i="1"/>
  <c r="AB267" i="1"/>
  <c r="AB275" i="1"/>
  <c r="AB283" i="1"/>
  <c r="AB288" i="1"/>
  <c r="AB296" i="1"/>
  <c r="AB304" i="1"/>
  <c r="AB312" i="1"/>
  <c r="AB320" i="1"/>
  <c r="AB328" i="1"/>
  <c r="AB336" i="1"/>
  <c r="AB348" i="1"/>
  <c r="AB356" i="1"/>
  <c r="AB364" i="1"/>
  <c r="AB372" i="1"/>
  <c r="AB20" i="1"/>
  <c r="AB94" i="1"/>
  <c r="AB163" i="1"/>
  <c r="AB216" i="1"/>
  <c r="AB261" i="1"/>
  <c r="AB314" i="1"/>
  <c r="AB350" i="1"/>
  <c r="AB11" i="1"/>
  <c r="AB19" i="1"/>
  <c r="AB27" i="1"/>
  <c r="AB40" i="1"/>
  <c r="AB48" i="1"/>
  <c r="AB56" i="1"/>
  <c r="AB64" i="1"/>
  <c r="AB72" i="1"/>
  <c r="AB80" i="1"/>
  <c r="AB93" i="1"/>
  <c r="AB101" i="1"/>
  <c r="AB109" i="1"/>
  <c r="AB117" i="1"/>
  <c r="AB125" i="1"/>
  <c r="AB133" i="1"/>
  <c r="AB141" i="1"/>
  <c r="AB146" i="1"/>
  <c r="AB154" i="1"/>
  <c r="AB162" i="1"/>
  <c r="AB170" i="1"/>
  <c r="AB178" i="1"/>
  <c r="AB186" i="1"/>
  <c r="AB194" i="1"/>
  <c r="AB207" i="1"/>
  <c r="AB215" i="1"/>
  <c r="AB223" i="1"/>
  <c r="AB231" i="1"/>
  <c r="AB239" i="1"/>
  <c r="AB244" i="1"/>
  <c r="AB252" i="1"/>
  <c r="AB260" i="1"/>
  <c r="AB268" i="1"/>
  <c r="AB276" i="1"/>
  <c r="AB289" i="1"/>
  <c r="AB297" i="1"/>
  <c r="AB305" i="1"/>
  <c r="AB313" i="1"/>
  <c r="AB321" i="1"/>
  <c r="AB329" i="1"/>
  <c r="AB337" i="1"/>
  <c r="AB341" i="1"/>
  <c r="AB349" i="1"/>
  <c r="AB357" i="1"/>
  <c r="AB365" i="1"/>
  <c r="AB373" i="1"/>
  <c r="AB12" i="1"/>
  <c r="AB134" i="1"/>
  <c r="AB179" i="1"/>
  <c r="AB232" i="1"/>
  <c r="AB290" i="1"/>
  <c r="AB338" i="1"/>
  <c r="AB13" i="1"/>
  <c r="AB21" i="1"/>
  <c r="AB29" i="1"/>
  <c r="AB34" i="1"/>
  <c r="AB42" i="1"/>
  <c r="AB50" i="1"/>
  <c r="AB58" i="1"/>
  <c r="AB66" i="1"/>
  <c r="AB74" i="1"/>
  <c r="AB82" i="1"/>
  <c r="AB95" i="1"/>
  <c r="AB103" i="1"/>
  <c r="AB111" i="1"/>
  <c r="AB119" i="1"/>
  <c r="AB127" i="1"/>
  <c r="AB135" i="1"/>
  <c r="AB143" i="1"/>
  <c r="AB148" i="1"/>
  <c r="AB156" i="1"/>
  <c r="AB164" i="1"/>
  <c r="AB172" i="1"/>
  <c r="AB180" i="1"/>
  <c r="AB188" i="1"/>
  <c r="AB196" i="1"/>
  <c r="AB201" i="1"/>
  <c r="AB209" i="1"/>
  <c r="AB217" i="1"/>
  <c r="AB225" i="1"/>
  <c r="AB233" i="1"/>
  <c r="AB241" i="1"/>
  <c r="AB246" i="1"/>
  <c r="AB254" i="1"/>
  <c r="AB262" i="1"/>
  <c r="AB270" i="1"/>
  <c r="AB278" i="1"/>
  <c r="AB291" i="1"/>
  <c r="AB299" i="1"/>
  <c r="AB307" i="1"/>
  <c r="AB315" i="1"/>
  <c r="AB323" i="1"/>
  <c r="AB331" i="1"/>
  <c r="AB339" i="1"/>
  <c r="AB343" i="1"/>
  <c r="AB351" i="1"/>
  <c r="AB359" i="1"/>
  <c r="AB367" i="1"/>
  <c r="AB375" i="1"/>
  <c r="AB49" i="1"/>
  <c r="AB65" i="1"/>
  <c r="AB110" i="1"/>
  <c r="AB155" i="1"/>
  <c r="AB208" i="1"/>
  <c r="AB253" i="1"/>
  <c r="AB298" i="1"/>
  <c r="AB342" i="1"/>
  <c r="AB399" i="1" l="1"/>
  <c r="AB842" i="1"/>
  <c r="AB877" i="1" l="1"/>
</calcChain>
</file>

<file path=xl/sharedStrings.xml><?xml version="1.0" encoding="utf-8"?>
<sst xmlns="http://schemas.openxmlformats.org/spreadsheetml/2006/main" count="1836" uniqueCount="880">
  <si>
    <t>FINCA FILIAL</t>
  </si>
  <si>
    <t>DESCRIPCION</t>
  </si>
  <si>
    <t>AREA PRIVATIVA CONSTRUIDA (APC)</t>
  </si>
  <si>
    <t>SUBTOTAL</t>
  </si>
  <si>
    <t>TOTAL (m2)</t>
  </si>
  <si>
    <t>COEF. DE PROPIEDAD</t>
  </si>
  <si>
    <t>(API/APT)</t>
  </si>
  <si>
    <t>F.F. #1</t>
  </si>
  <si>
    <t>F.F. #2</t>
  </si>
  <si>
    <t>F.F. #3</t>
  </si>
  <si>
    <t>F.F. #4</t>
  </si>
  <si>
    <t>F.F. #5</t>
  </si>
  <si>
    <t>F.F. #6</t>
  </si>
  <si>
    <t>F.F. #7</t>
  </si>
  <si>
    <t>F.F. #8</t>
  </si>
  <si>
    <t>F.F. #9</t>
  </si>
  <si>
    <t>F.F. #10</t>
  </si>
  <si>
    <t>F.F. #11</t>
  </si>
  <si>
    <t>F.F. #12</t>
  </si>
  <si>
    <t>F.F. #13</t>
  </si>
  <si>
    <t>F.F. #14</t>
  </si>
  <si>
    <t>F.F. #15</t>
  </si>
  <si>
    <t>F.F. #16</t>
  </si>
  <si>
    <t>F.F. #17</t>
  </si>
  <si>
    <t>AREA PRIVATIVA</t>
  </si>
  <si>
    <t>AREAS COMUNES</t>
  </si>
  <si>
    <t>AREA COMUN LIBRE (ACL)</t>
  </si>
  <si>
    <t>AREA COMUN CONSTRUIDA (ACC)</t>
  </si>
  <si>
    <t>Subtotal (m2)</t>
  </si>
  <si>
    <t>Subtotal</t>
  </si>
  <si>
    <t>PARQUEO -4</t>
  </si>
  <si>
    <t>PARQUEO -3</t>
  </si>
  <si>
    <t>PARQUEO -2</t>
  </si>
  <si>
    <t>PARQUEO -1</t>
  </si>
  <si>
    <t>PARQUEO PB</t>
  </si>
  <si>
    <t>PARQUEO +1</t>
  </si>
  <si>
    <t>PARQUEO +2</t>
  </si>
  <si>
    <t>Bodega</t>
  </si>
  <si>
    <t>PISO 1</t>
  </si>
  <si>
    <t>PISO 2</t>
  </si>
  <si>
    <t>PISO 3</t>
  </si>
  <si>
    <t>PISO 4</t>
  </si>
  <si>
    <t>PISO 5</t>
  </si>
  <si>
    <t>PISO 6</t>
  </si>
  <si>
    <t>PISO 7</t>
  </si>
  <si>
    <t>PISO 8</t>
  </si>
  <si>
    <t>PISO 9</t>
  </si>
  <si>
    <t>PISO 10</t>
  </si>
  <si>
    <t>TERRAZA</t>
  </si>
  <si>
    <t>CUB. VERDE</t>
  </si>
  <si>
    <t>TOTALES</t>
  </si>
  <si>
    <t>Varios</t>
  </si>
  <si>
    <t>AREA TOTAL DEL TERRENO (m2)</t>
  </si>
  <si>
    <t>AREA COBERTURA (m2)</t>
  </si>
  <si>
    <t>AREA TOTAL DE PISO (m2)</t>
  </si>
  <si>
    <t>F.F. #18</t>
  </si>
  <si>
    <t>F.F. #19</t>
  </si>
  <si>
    <t>F.F. #20</t>
  </si>
  <si>
    <t>F.F. #21</t>
  </si>
  <si>
    <t>F.F. #22</t>
  </si>
  <si>
    <t>F.F. #23</t>
  </si>
  <si>
    <t>F.F. #24</t>
  </si>
  <si>
    <t>F.F. #25</t>
  </si>
  <si>
    <t>F.F. #26</t>
  </si>
  <si>
    <t>F.F. #27</t>
  </si>
  <si>
    <t>F.F. #28</t>
  </si>
  <si>
    <t>F.F. #29</t>
  </si>
  <si>
    <t>F.F. #30</t>
  </si>
  <si>
    <t>F.F. #31</t>
  </si>
  <si>
    <t>F.F. #32</t>
  </si>
  <si>
    <t>F.F. #33</t>
  </si>
  <si>
    <t>F.F. #34</t>
  </si>
  <si>
    <t>F.F. #35</t>
  </si>
  <si>
    <t>F.F. #36</t>
  </si>
  <si>
    <t>F.F. #37</t>
  </si>
  <si>
    <t>F.F. #38</t>
  </si>
  <si>
    <t>F.F. #39</t>
  </si>
  <si>
    <t>F.F. #40</t>
  </si>
  <si>
    <t>F.F. #41</t>
  </si>
  <si>
    <t>F.F. #42</t>
  </si>
  <si>
    <t>F.F. #43</t>
  </si>
  <si>
    <t>F.F. #44</t>
  </si>
  <si>
    <t>F.F. #45</t>
  </si>
  <si>
    <t>F.F. #46</t>
  </si>
  <si>
    <t>F.F. #47</t>
  </si>
  <si>
    <t>F.F. #48</t>
  </si>
  <si>
    <t>F.F. #49</t>
  </si>
  <si>
    <t>F.F. #50</t>
  </si>
  <si>
    <t>F.F. #51</t>
  </si>
  <si>
    <t>F.F. #52</t>
  </si>
  <si>
    <t>F.F. #53</t>
  </si>
  <si>
    <t>F.F. #54</t>
  </si>
  <si>
    <t>F.F. #55</t>
  </si>
  <si>
    <t>F.F. #56</t>
  </si>
  <si>
    <t>F.F. #57</t>
  </si>
  <si>
    <t>F.F. #58</t>
  </si>
  <si>
    <t>F.F. #59</t>
  </si>
  <si>
    <t>F.F. #60</t>
  </si>
  <si>
    <t>F.F. #61</t>
  </si>
  <si>
    <t>F.F. #62</t>
  </si>
  <si>
    <t>F.F. #63</t>
  </si>
  <si>
    <t>F.F. #64</t>
  </si>
  <si>
    <t>F.F. #65</t>
  </si>
  <si>
    <t>F.F. #66</t>
  </si>
  <si>
    <t>F.F. #67</t>
  </si>
  <si>
    <t>F.F. #68</t>
  </si>
  <si>
    <t>F.F. #69</t>
  </si>
  <si>
    <r>
      <rPr>
        <b/>
        <sz val="11"/>
        <color theme="1"/>
        <rFont val="Calibri"/>
        <family val="2"/>
        <scheme val="minor"/>
      </rPr>
      <t>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</si>
  <si>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DATOS TOTALES</t>
  </si>
  <si>
    <t>AREA DE CIRCULACION (Pasillos, Escaleras, Ascensor y Rampa)</t>
  </si>
  <si>
    <t>F.F. #70</t>
  </si>
  <si>
    <t>F.F. #71</t>
  </si>
  <si>
    <t>F.F. #72</t>
  </si>
  <si>
    <t>F.F. #73</t>
  </si>
  <si>
    <t>F.F. #74</t>
  </si>
  <si>
    <t>F.F. #75</t>
  </si>
  <si>
    <t>F.F. #76</t>
  </si>
  <si>
    <t>F.F. #77</t>
  </si>
  <si>
    <t>F.F. #78</t>
  </si>
  <si>
    <t>F.F. #79</t>
  </si>
  <si>
    <t>F.F. #80</t>
  </si>
  <si>
    <t>F.F. #81</t>
  </si>
  <si>
    <t>F.F. #82</t>
  </si>
  <si>
    <t>F.F. #83</t>
  </si>
  <si>
    <t>F.F. #84</t>
  </si>
  <si>
    <t>F.F. #85</t>
  </si>
  <si>
    <t>F.F. #86</t>
  </si>
  <si>
    <t>F.F. #87</t>
  </si>
  <si>
    <t>F.F. #88</t>
  </si>
  <si>
    <t>F.F. #89</t>
  </si>
  <si>
    <t>F.F. #90</t>
  </si>
  <si>
    <t>F.F. #91</t>
  </si>
  <si>
    <t>F.F. #92</t>
  </si>
  <si>
    <t>F.F. #93</t>
  </si>
  <si>
    <t>F.F. #94</t>
  </si>
  <si>
    <t>F.F. #95</t>
  </si>
  <si>
    <t>F.F. #96</t>
  </si>
  <si>
    <t>F.F. #97</t>
  </si>
  <si>
    <t>F.F. #98</t>
  </si>
  <si>
    <t>F.F. #99</t>
  </si>
  <si>
    <t>F.F. #100</t>
  </si>
  <si>
    <t>F.F. #101</t>
  </si>
  <si>
    <t>F.F. #102</t>
  </si>
  <si>
    <t>F.F. #103</t>
  </si>
  <si>
    <t>F.F. #104</t>
  </si>
  <si>
    <t>F.F. #105</t>
  </si>
  <si>
    <t>F.F. #106</t>
  </si>
  <si>
    <t>F.F. #107</t>
  </si>
  <si>
    <t>F.F. #108</t>
  </si>
  <si>
    <t>F.F. #109</t>
  </si>
  <si>
    <t>F.F. #110</t>
  </si>
  <si>
    <t>F.F. #111</t>
  </si>
  <si>
    <t>F.F. #112</t>
  </si>
  <si>
    <t>F.F. #113</t>
  </si>
  <si>
    <t>F.F. #114</t>
  </si>
  <si>
    <t>F.F. #115</t>
  </si>
  <si>
    <t>F.F. #116</t>
  </si>
  <si>
    <t>F.F. #117</t>
  </si>
  <si>
    <t>F.F. #118</t>
  </si>
  <si>
    <t>F.F. #119</t>
  </si>
  <si>
    <t>F.F. #120</t>
  </si>
  <si>
    <t>F.F. #121</t>
  </si>
  <si>
    <t>F.F. #122</t>
  </si>
  <si>
    <t>F.F. #123</t>
  </si>
  <si>
    <t>F.F. #124</t>
  </si>
  <si>
    <t>F.F. #125</t>
  </si>
  <si>
    <t>F.F. #126</t>
  </si>
  <si>
    <t>F.F. #127</t>
  </si>
  <si>
    <t>F.F. #128</t>
  </si>
  <si>
    <t>F.F. #129</t>
  </si>
  <si>
    <t>F.F. #130</t>
  </si>
  <si>
    <t>F.F. #131</t>
  </si>
  <si>
    <t>F.F. #132</t>
  </si>
  <si>
    <t>F.F. #133</t>
  </si>
  <si>
    <t>F.F. #134</t>
  </si>
  <si>
    <t>F.F. #135</t>
  </si>
  <si>
    <t>F.F. #136</t>
  </si>
  <si>
    <t>F.F. #137</t>
  </si>
  <si>
    <t>F.F. #138</t>
  </si>
  <si>
    <t>F.F. #139</t>
  </si>
  <si>
    <t>F.F. #140</t>
  </si>
  <si>
    <t>F.F. #141</t>
  </si>
  <si>
    <t>F.F. #142</t>
  </si>
  <si>
    <t>F.F. #143</t>
  </si>
  <si>
    <t>F.F. #144</t>
  </si>
  <si>
    <t>F.F. #145</t>
  </si>
  <si>
    <t>F.F. #146</t>
  </si>
  <si>
    <t>F.F. #147</t>
  </si>
  <si>
    <t>F.F. #148</t>
  </si>
  <si>
    <t>F.F. #149</t>
  </si>
  <si>
    <t>F.F. #150</t>
  </si>
  <si>
    <t>F.F. #151</t>
  </si>
  <si>
    <t>F.F. #152</t>
  </si>
  <si>
    <t>F.F. #153</t>
  </si>
  <si>
    <t>F.F. #154</t>
  </si>
  <si>
    <t>F.F. #155</t>
  </si>
  <si>
    <t>F.F. #156</t>
  </si>
  <si>
    <t>F.F. #157</t>
  </si>
  <si>
    <t>F.F. #158</t>
  </si>
  <si>
    <t>F.F. #159</t>
  </si>
  <si>
    <t>F.F. #160</t>
  </si>
  <si>
    <t>F.F. #161</t>
  </si>
  <si>
    <t>F.F. #162</t>
  </si>
  <si>
    <t>F.F. #163</t>
  </si>
  <si>
    <t>F.F. #164</t>
  </si>
  <si>
    <t>F.F. #165</t>
  </si>
  <si>
    <t>F.F. #166</t>
  </si>
  <si>
    <t>F.F. #167</t>
  </si>
  <si>
    <t>F.F. #168</t>
  </si>
  <si>
    <t>F.F. #169</t>
  </si>
  <si>
    <t>F.F. #170</t>
  </si>
  <si>
    <t>F.F. #171</t>
  </si>
  <si>
    <t>F.F. #172</t>
  </si>
  <si>
    <t>F.F. #173</t>
  </si>
  <si>
    <t>F.F. #174</t>
  </si>
  <si>
    <t>F.F. #175</t>
  </si>
  <si>
    <t>F.F. #176</t>
  </si>
  <si>
    <t>F.F. #177</t>
  </si>
  <si>
    <t>F.F. #178</t>
  </si>
  <si>
    <t>F.F. #179</t>
  </si>
  <si>
    <t>F.F. #180</t>
  </si>
  <si>
    <t>F.F. #181</t>
  </si>
  <si>
    <t>F.F. #182</t>
  </si>
  <si>
    <t>F.F. #183</t>
  </si>
  <si>
    <t>F.F. #184</t>
  </si>
  <si>
    <t>F.F. #185</t>
  </si>
  <si>
    <t>F.F. #186</t>
  </si>
  <si>
    <t>F.F. #187</t>
  </si>
  <si>
    <t>F.F. #188</t>
  </si>
  <si>
    <t>F.F. #189</t>
  </si>
  <si>
    <t>F.F. #190</t>
  </si>
  <si>
    <t>F.F. #191</t>
  </si>
  <si>
    <t>F.F. #192</t>
  </si>
  <si>
    <t>F.F. #193</t>
  </si>
  <si>
    <t>F.F. #194</t>
  </si>
  <si>
    <t>F.F. #195</t>
  </si>
  <si>
    <t>F.F. #196</t>
  </si>
  <si>
    <t>F.F. #197</t>
  </si>
  <si>
    <t>F.F. #198</t>
  </si>
  <si>
    <t>F.F. #199</t>
  </si>
  <si>
    <t>F.F. #200</t>
  </si>
  <si>
    <t>F.F. #201</t>
  </si>
  <si>
    <t>F.F. #202</t>
  </si>
  <si>
    <t>F.F. #203</t>
  </si>
  <si>
    <t>F.F. #204</t>
  </si>
  <si>
    <t>F.F. #205</t>
  </si>
  <si>
    <t>F.F. #206</t>
  </si>
  <si>
    <t>F.F. #207</t>
  </si>
  <si>
    <t>F.F. #208</t>
  </si>
  <si>
    <t>F.F. #209</t>
  </si>
  <si>
    <t>F.F. #210</t>
  </si>
  <si>
    <t>F.F. #211</t>
  </si>
  <si>
    <t>F.F. #212</t>
  </si>
  <si>
    <t>F.F. #213</t>
  </si>
  <si>
    <t>F.F. #214</t>
  </si>
  <si>
    <t>F.F. #215</t>
  </si>
  <si>
    <t>F.F. #216</t>
  </si>
  <si>
    <t>F.F. #217</t>
  </si>
  <si>
    <t>F.F. #218</t>
  </si>
  <si>
    <t>F.F. #219</t>
  </si>
  <si>
    <t>F.F. #220</t>
  </si>
  <si>
    <t>F.F. #221</t>
  </si>
  <si>
    <t>F.F. #222</t>
  </si>
  <si>
    <t>F.F. #223</t>
  </si>
  <si>
    <t>F.F. #224</t>
  </si>
  <si>
    <t>F.F. #225</t>
  </si>
  <si>
    <t>F.F. #226</t>
  </si>
  <si>
    <t>F.F. #227</t>
  </si>
  <si>
    <t>F.F. #228</t>
  </si>
  <si>
    <t>F.F. #229</t>
  </si>
  <si>
    <t>F.F. #230</t>
  </si>
  <si>
    <t>F.F. #231</t>
  </si>
  <si>
    <t>F.F. #232</t>
  </si>
  <si>
    <t>F.F. #233</t>
  </si>
  <si>
    <t>F.F. #234</t>
  </si>
  <si>
    <t>F.F. #235</t>
  </si>
  <si>
    <t>F.F. #236</t>
  </si>
  <si>
    <t>F.F. #237</t>
  </si>
  <si>
    <t>F.F. #238</t>
  </si>
  <si>
    <t>F.F. #239</t>
  </si>
  <si>
    <t>F.F. #240</t>
  </si>
  <si>
    <t>F.F. #241</t>
  </si>
  <si>
    <t>F.F. #242</t>
  </si>
  <si>
    <t>F.F. #243</t>
  </si>
  <si>
    <t>F.F. #244</t>
  </si>
  <si>
    <t>F.F. #245</t>
  </si>
  <si>
    <t>F.F. #246</t>
  </si>
  <si>
    <t>F.F. #247</t>
  </si>
  <si>
    <t>F.F. #248</t>
  </si>
  <si>
    <t>F.F. #249</t>
  </si>
  <si>
    <t>F.F. #250</t>
  </si>
  <si>
    <t>F.F. #251</t>
  </si>
  <si>
    <t>F.F. #252</t>
  </si>
  <si>
    <t>F.F. #253</t>
  </si>
  <si>
    <t>F.F. #254</t>
  </si>
  <si>
    <t>F.F. #255</t>
  </si>
  <si>
    <t>F.F. #256</t>
  </si>
  <si>
    <t>F.F. #257</t>
  </si>
  <si>
    <t>F.F. #258</t>
  </si>
  <si>
    <t>F.F. #259</t>
  </si>
  <si>
    <t>F.F. #260</t>
  </si>
  <si>
    <t>F.F. #261</t>
  </si>
  <si>
    <t>F.F. #262</t>
  </si>
  <si>
    <t>F.F. #263</t>
  </si>
  <si>
    <t>F.F. #264</t>
  </si>
  <si>
    <t>F.F. #265</t>
  </si>
  <si>
    <t>F.F. #266</t>
  </si>
  <si>
    <t>F.F. #267</t>
  </si>
  <si>
    <t>F.F. #268</t>
  </si>
  <si>
    <t>F.F. #269</t>
  </si>
  <si>
    <t>F.F. #270</t>
  </si>
  <si>
    <t>F.F. #271</t>
  </si>
  <si>
    <t>F.F. #272</t>
  </si>
  <si>
    <t>F.F. #273</t>
  </si>
  <si>
    <t>F.F. #274</t>
  </si>
  <si>
    <t>F.F. #275</t>
  </si>
  <si>
    <t>F.F. #276</t>
  </si>
  <si>
    <t>F.F. #277</t>
  </si>
  <si>
    <t>F.F. #278</t>
  </si>
  <si>
    <t>F.F. #279</t>
  </si>
  <si>
    <t>F.F. #280</t>
  </si>
  <si>
    <t>F.F. #281</t>
  </si>
  <si>
    <t>F.F. #282</t>
  </si>
  <si>
    <t>F.F. #283</t>
  </si>
  <si>
    <t>F.F. #284</t>
  </si>
  <si>
    <t>F.F. #285</t>
  </si>
  <si>
    <t>F.F. #286</t>
  </si>
  <si>
    <t>F.F. #287</t>
  </si>
  <si>
    <t>F.F. #288</t>
  </si>
  <si>
    <t>F.F. #289</t>
  </si>
  <si>
    <t>F.F. #290</t>
  </si>
  <si>
    <t>F.F. #291</t>
  </si>
  <si>
    <t>F.F. #292</t>
  </si>
  <si>
    <t>F.F. #293</t>
  </si>
  <si>
    <t>F.F. #294</t>
  </si>
  <si>
    <t>F.F. #295</t>
  </si>
  <si>
    <t>F.F. #296</t>
  </si>
  <si>
    <t>F.F. #297</t>
  </si>
  <si>
    <t>F.F. #298</t>
  </si>
  <si>
    <t>F.F. #299</t>
  </si>
  <si>
    <t>F.F. #300</t>
  </si>
  <si>
    <t>F.F. #301</t>
  </si>
  <si>
    <t>F.F. #302</t>
  </si>
  <si>
    <t>F.F. #303</t>
  </si>
  <si>
    <t>F.F. #304</t>
  </si>
  <si>
    <t>F.F. #305</t>
  </si>
  <si>
    <t>F.F. #306</t>
  </si>
  <si>
    <t>F.F. #307</t>
  </si>
  <si>
    <t>F.F. #308</t>
  </si>
  <si>
    <t>F.F. #309</t>
  </si>
  <si>
    <t>F.F. #310</t>
  </si>
  <si>
    <t>F.F. #311</t>
  </si>
  <si>
    <t>F.F. #312</t>
  </si>
  <si>
    <t>F.F. #313</t>
  </si>
  <si>
    <t>F.F. #314</t>
  </si>
  <si>
    <t>F.F. #315</t>
  </si>
  <si>
    <t>F.F. #316</t>
  </si>
  <si>
    <t>F.F. #317</t>
  </si>
  <si>
    <t>F.F. #318</t>
  </si>
  <si>
    <t>F.F. #319</t>
  </si>
  <si>
    <t>F.F. #320</t>
  </si>
  <si>
    <t>F.F. #321</t>
  </si>
  <si>
    <t>F.F. #322</t>
  </si>
  <si>
    <t>F.F. #323</t>
  </si>
  <si>
    <t>F.F. #324</t>
  </si>
  <si>
    <t>F.F. #325</t>
  </si>
  <si>
    <t>F.F. #326</t>
  </si>
  <si>
    <t>F.F. #327</t>
  </si>
  <si>
    <t>F.F. #328</t>
  </si>
  <si>
    <t>F.F. #329</t>
  </si>
  <si>
    <t>F.F. #330</t>
  </si>
  <si>
    <t>F.F. #331</t>
  </si>
  <si>
    <t>F.F. #332</t>
  </si>
  <si>
    <t>F.F. #333</t>
  </si>
  <si>
    <t>F.F. #334</t>
  </si>
  <si>
    <t>F.F. #335</t>
  </si>
  <si>
    <t>F.F. #336</t>
  </si>
  <si>
    <t>F.F. #337</t>
  </si>
  <si>
    <t>F.F. #338</t>
  </si>
  <si>
    <t>F.F. #339</t>
  </si>
  <si>
    <t>F.F. #340</t>
  </si>
  <si>
    <t>F.F. #341</t>
  </si>
  <si>
    <t>F.F. #342</t>
  </si>
  <si>
    <t>F.F. #343</t>
  </si>
  <si>
    <t>F.F. #344</t>
  </si>
  <si>
    <t>F.F. #345</t>
  </si>
  <si>
    <t>F.F. #346</t>
  </si>
  <si>
    <t>F.F. #347</t>
  </si>
  <si>
    <t>F.F. #348</t>
  </si>
  <si>
    <t>F.F. #349</t>
  </si>
  <si>
    <t>F.F. #350</t>
  </si>
  <si>
    <t>F.F. #351</t>
  </si>
  <si>
    <t>F.F. #352</t>
  </si>
  <si>
    <t>F.F. #353</t>
  </si>
  <si>
    <t>F.F. #354</t>
  </si>
  <si>
    <t>F.F. #355</t>
  </si>
  <si>
    <t>F.F. #356</t>
  </si>
  <si>
    <t>F.F. #357</t>
  </si>
  <si>
    <t>F.F. #358</t>
  </si>
  <si>
    <t>F.F. #359</t>
  </si>
  <si>
    <t>F.F. #360</t>
  </si>
  <si>
    <t>F.F. #361</t>
  </si>
  <si>
    <t>F.F. #362</t>
  </si>
  <si>
    <t>F.F. #363</t>
  </si>
  <si>
    <t>F.F. #364</t>
  </si>
  <si>
    <t>F.F. #365</t>
  </si>
  <si>
    <t>F.F. #366</t>
  </si>
  <si>
    <t>F.F. #367</t>
  </si>
  <si>
    <t>F.F. #368</t>
  </si>
  <si>
    <t>F.F. #369</t>
  </si>
  <si>
    <t>F.F. #370</t>
  </si>
  <si>
    <t>F.F. #371</t>
  </si>
  <si>
    <t>F.F. #372</t>
  </si>
  <si>
    <t>F.F. #373</t>
  </si>
  <si>
    <t>F.F. #374</t>
  </si>
  <si>
    <t>F.F. #375</t>
  </si>
  <si>
    <t>F.F. #376</t>
  </si>
  <si>
    <t>F.F. #377</t>
  </si>
  <si>
    <t>F.F. #378</t>
  </si>
  <si>
    <t>F.F. #379</t>
  </si>
  <si>
    <t>F.F. #380</t>
  </si>
  <si>
    <t>F.F. #381</t>
  </si>
  <si>
    <t>F.F. #382</t>
  </si>
  <si>
    <t>F.F. #383</t>
  </si>
  <si>
    <t>F.F. #384</t>
  </si>
  <si>
    <t>F.F. #385</t>
  </si>
  <si>
    <t>F.F. #386</t>
  </si>
  <si>
    <t>F.F. #387</t>
  </si>
  <si>
    <t>F.F. #388</t>
  </si>
  <si>
    <t>F.F. #389</t>
  </si>
  <si>
    <t>F.F. #390</t>
  </si>
  <si>
    <t>F.F. #508</t>
  </si>
  <si>
    <t>F.F. #509</t>
  </si>
  <si>
    <t>F.F. #510</t>
  </si>
  <si>
    <t>F.F. #511</t>
  </si>
  <si>
    <t>F.F. #512</t>
  </si>
  <si>
    <t>F.F. #513</t>
  </si>
  <si>
    <t>F.F. #514</t>
  </si>
  <si>
    <t>F.F. #515</t>
  </si>
  <si>
    <t>F.F. #516</t>
  </si>
  <si>
    <t>F.F. #517</t>
  </si>
  <si>
    <t>F.F. #518</t>
  </si>
  <si>
    <t>F.F. #519</t>
  </si>
  <si>
    <t>F.F. #520</t>
  </si>
  <si>
    <t>F.F. #521</t>
  </si>
  <si>
    <t>F.F. #522</t>
  </si>
  <si>
    <t>F.F. #523</t>
  </si>
  <si>
    <t>F.F. #524</t>
  </si>
  <si>
    <t>F.F. #525</t>
  </si>
  <si>
    <t>F.F. #526</t>
  </si>
  <si>
    <t>F.F. #527</t>
  </si>
  <si>
    <t>F.F. #528</t>
  </si>
  <si>
    <t>F.F. #529</t>
  </si>
  <si>
    <t>Apartamento</t>
  </si>
  <si>
    <t>F.F. #530</t>
  </si>
  <si>
    <t>F.F. #531</t>
  </si>
  <si>
    <t>F.F. #532</t>
  </si>
  <si>
    <t>F.F. #533</t>
  </si>
  <si>
    <t>F.F. #534</t>
  </si>
  <si>
    <t>F.F. #535</t>
  </si>
  <si>
    <t>F.F. #536</t>
  </si>
  <si>
    <t>F.F. #537</t>
  </si>
  <si>
    <t>F.F. #538</t>
  </si>
  <si>
    <t>F.F. #539</t>
  </si>
  <si>
    <t>F.F. #540</t>
  </si>
  <si>
    <t>F.F. #541</t>
  </si>
  <si>
    <t>F.F. #542</t>
  </si>
  <si>
    <t>F.F. #543</t>
  </si>
  <si>
    <t>F.F. #544</t>
  </si>
  <si>
    <t>F.F. #545</t>
  </si>
  <si>
    <t>F.F. #546</t>
  </si>
  <si>
    <t>F.F. #547</t>
  </si>
  <si>
    <t>F.F. #548</t>
  </si>
  <si>
    <t>F.F. #549</t>
  </si>
  <si>
    <t>F.F. #550</t>
  </si>
  <si>
    <t>F.F. #551</t>
  </si>
  <si>
    <t>F.F. #552</t>
  </si>
  <si>
    <t>F.F. #553</t>
  </si>
  <si>
    <t>F.F. #554</t>
  </si>
  <si>
    <t>F.F. #555</t>
  </si>
  <si>
    <t>F.F. #556</t>
  </si>
  <si>
    <t>F.F. #557</t>
  </si>
  <si>
    <t>F.F. #558</t>
  </si>
  <si>
    <t>F.F. #559</t>
  </si>
  <si>
    <t>F.F. #560</t>
  </si>
  <si>
    <t>F.F. #561</t>
  </si>
  <si>
    <t>F.F. #562</t>
  </si>
  <si>
    <t>F.F. #563</t>
  </si>
  <si>
    <t>F.F. #564</t>
  </si>
  <si>
    <t>F.F. #565</t>
  </si>
  <si>
    <t>F.F. #566</t>
  </si>
  <si>
    <t>F.F. #567</t>
  </si>
  <si>
    <t>F.F. #568</t>
  </si>
  <si>
    <t>F.F. #569</t>
  </si>
  <si>
    <t>F.F. #570</t>
  </si>
  <si>
    <t>F.F. #571</t>
  </si>
  <si>
    <t>F.F. #572</t>
  </si>
  <si>
    <t>F.F. #573</t>
  </si>
  <si>
    <t>F.F. #574</t>
  </si>
  <si>
    <t>F.F. #575</t>
  </si>
  <si>
    <t>F.F. #576</t>
  </si>
  <si>
    <t>F.F. #577</t>
  </si>
  <si>
    <t>F.F. #578</t>
  </si>
  <si>
    <t>F.F. #579</t>
  </si>
  <si>
    <t>F.F. #580</t>
  </si>
  <si>
    <t>F.F. #581</t>
  </si>
  <si>
    <t>F.F. #582</t>
  </si>
  <si>
    <t>F.F. #583</t>
  </si>
  <si>
    <t>F.F. #584</t>
  </si>
  <si>
    <t>F.F. #585</t>
  </si>
  <si>
    <t>F.F. #586</t>
  </si>
  <si>
    <t>F.F. #587</t>
  </si>
  <si>
    <t>F.F. #588</t>
  </si>
  <si>
    <t>F.F. #589</t>
  </si>
  <si>
    <t>F.F. #590</t>
  </si>
  <si>
    <t>F.F. #591</t>
  </si>
  <si>
    <t>F.F. #592</t>
  </si>
  <si>
    <t>F.F. #593</t>
  </si>
  <si>
    <t>F.F. #594</t>
  </si>
  <si>
    <t>F.F. #595</t>
  </si>
  <si>
    <t>F.F. #596</t>
  </si>
  <si>
    <t>F.F. #597</t>
  </si>
  <si>
    <t>F.F. #598</t>
  </si>
  <si>
    <t>F.F. #599</t>
  </si>
  <si>
    <t>F.F. #600</t>
  </si>
  <si>
    <t>F.F. #601</t>
  </si>
  <si>
    <t>F.F. #602</t>
  </si>
  <si>
    <t>F.F. #603</t>
  </si>
  <si>
    <t>F.F. #604</t>
  </si>
  <si>
    <t>F.F. #605</t>
  </si>
  <si>
    <t>F.F. #606</t>
  </si>
  <si>
    <t>F.F. #607</t>
  </si>
  <si>
    <t>F.F. #608</t>
  </si>
  <si>
    <t>F.F. #609</t>
  </si>
  <si>
    <t>F.F. #610</t>
  </si>
  <si>
    <t>F.F. #611</t>
  </si>
  <si>
    <t>F.F. #612</t>
  </si>
  <si>
    <t>F.F. #613</t>
  </si>
  <si>
    <t>F.F. #614</t>
  </si>
  <si>
    <t>F.F. #615</t>
  </si>
  <si>
    <t>F.F. #616</t>
  </si>
  <si>
    <t>F.F. #617</t>
  </si>
  <si>
    <t>F.F. #618</t>
  </si>
  <si>
    <t>F.F. #619</t>
  </si>
  <si>
    <t>F.F. #620</t>
  </si>
  <si>
    <t>F.F. #621</t>
  </si>
  <si>
    <t>F.F. #622</t>
  </si>
  <si>
    <t>F.F. #623</t>
  </si>
  <si>
    <t>F.F. #624</t>
  </si>
  <si>
    <t>F.F. #625</t>
  </si>
  <si>
    <t>F.F. #626</t>
  </si>
  <si>
    <t>F.F. #627</t>
  </si>
  <si>
    <t>F.F. #628</t>
  </si>
  <si>
    <t>F.F. #629</t>
  </si>
  <si>
    <t>F.F. #630</t>
  </si>
  <si>
    <t>F.F. #631</t>
  </si>
  <si>
    <t>F.F. #632</t>
  </si>
  <si>
    <t>F.F. #633</t>
  </si>
  <si>
    <t>F.F. #634</t>
  </si>
  <si>
    <t>F.F. #635</t>
  </si>
  <si>
    <t>F.F. #636</t>
  </si>
  <si>
    <t>F.F. #637</t>
  </si>
  <si>
    <t>F.F. #638</t>
  </si>
  <si>
    <t>F.F. #639</t>
  </si>
  <si>
    <t>F.F. #640</t>
  </si>
  <si>
    <t>F.F. #641</t>
  </si>
  <si>
    <t>F.F. #642</t>
  </si>
  <si>
    <t>F.F. #643</t>
  </si>
  <si>
    <t>F.F. #644</t>
  </si>
  <si>
    <t>F.F. #645</t>
  </si>
  <si>
    <t>F.F. #646</t>
  </si>
  <si>
    <t>F.F. #647</t>
  </si>
  <si>
    <t>F.F. #648</t>
  </si>
  <si>
    <t>F.F. #649</t>
  </si>
  <si>
    <t>F.F. #650</t>
  </si>
  <si>
    <t>F.F. #651</t>
  </si>
  <si>
    <t>F.F. #652</t>
  </si>
  <si>
    <t>F.F. #653</t>
  </si>
  <si>
    <t>F.F. #654</t>
  </si>
  <si>
    <t>F.F. #655</t>
  </si>
  <si>
    <t>F.F. #656</t>
  </si>
  <si>
    <t>F.F. #657</t>
  </si>
  <si>
    <t>F.F. #658</t>
  </si>
  <si>
    <t>F.F. #659</t>
  </si>
  <si>
    <t>F.F. #660</t>
  </si>
  <si>
    <t>F.F. #661</t>
  </si>
  <si>
    <t>F.F. #662</t>
  </si>
  <si>
    <t>F.F. #663</t>
  </si>
  <si>
    <t>F.F. #664</t>
  </si>
  <si>
    <t>F.F. #665</t>
  </si>
  <si>
    <t>F.F. #666</t>
  </si>
  <si>
    <t>F.F. #667</t>
  </si>
  <si>
    <t>F.F. #668</t>
  </si>
  <si>
    <t>F.F. #669</t>
  </si>
  <si>
    <t>F.F. #670</t>
  </si>
  <si>
    <t>F.F. #671</t>
  </si>
  <si>
    <t>F.F. #672</t>
  </si>
  <si>
    <t>F.F. #673</t>
  </si>
  <si>
    <t>F.F. #674</t>
  </si>
  <si>
    <t>F.F. #675</t>
  </si>
  <si>
    <t>F.F. #676</t>
  </si>
  <si>
    <t>F.F. #677</t>
  </si>
  <si>
    <t>F.F. #678</t>
  </si>
  <si>
    <t>F.F. #679</t>
  </si>
  <si>
    <t>F.F. #680</t>
  </si>
  <si>
    <t>F.F. #681</t>
  </si>
  <si>
    <t>F.F. #682</t>
  </si>
  <si>
    <t>F.F. #683</t>
  </si>
  <si>
    <t>F.F. #684</t>
  </si>
  <si>
    <t>F.F. #685</t>
  </si>
  <si>
    <t>F.F. #686</t>
  </si>
  <si>
    <t>F.F. #687</t>
  </si>
  <si>
    <t>F.F. #688</t>
  </si>
  <si>
    <t>F.F. #689</t>
  </si>
  <si>
    <t>F.F. #690</t>
  </si>
  <si>
    <t>F.F. #691</t>
  </si>
  <si>
    <t>F.F. #692</t>
  </si>
  <si>
    <t>F.F. #693</t>
  </si>
  <si>
    <t>F.F. #694</t>
  </si>
  <si>
    <t>F.F. #695</t>
  </si>
  <si>
    <t>F.F. #696</t>
  </si>
  <si>
    <t>F.F. #697</t>
  </si>
  <si>
    <t>F.F. #698</t>
  </si>
  <si>
    <t>F.F. #699</t>
  </si>
  <si>
    <t>F.F. #700</t>
  </si>
  <si>
    <t>F.F. #701</t>
  </si>
  <si>
    <t>F.F. #702</t>
  </si>
  <si>
    <t>F.F. #703</t>
  </si>
  <si>
    <t>F.F. #704</t>
  </si>
  <si>
    <t>F.F. #705</t>
  </si>
  <si>
    <t>F.F. #706</t>
  </si>
  <si>
    <t>F.F. #707</t>
  </si>
  <si>
    <t>F.F. #708</t>
  </si>
  <si>
    <t>F.F. #709</t>
  </si>
  <si>
    <t>F.F. #710</t>
  </si>
  <si>
    <t>F.F. #711</t>
  </si>
  <si>
    <t>F.F. #712</t>
  </si>
  <si>
    <t>F.F. #713</t>
  </si>
  <si>
    <t>F.F. #714</t>
  </si>
  <si>
    <t>F.F. #715</t>
  </si>
  <si>
    <t>F.F. #716</t>
  </si>
  <si>
    <t>F.F. #717</t>
  </si>
  <si>
    <t>F.F. #718</t>
  </si>
  <si>
    <t>F.F. #719</t>
  </si>
  <si>
    <t>F.F. #720</t>
  </si>
  <si>
    <t>F.F. #721</t>
  </si>
  <si>
    <t>F.F. #722</t>
  </si>
  <si>
    <t>F.F. #723</t>
  </si>
  <si>
    <t>F.F. #724</t>
  </si>
  <si>
    <t>F.F. #725</t>
  </si>
  <si>
    <t>F.F. #726</t>
  </si>
  <si>
    <t>F.F. #727</t>
  </si>
  <si>
    <t>F.F. #728</t>
  </si>
  <si>
    <t>F.F. #729</t>
  </si>
  <si>
    <t>F.F. #730</t>
  </si>
  <si>
    <t>F.F. #731</t>
  </si>
  <si>
    <t>F.F. #732</t>
  </si>
  <si>
    <t>F.F. #733</t>
  </si>
  <si>
    <t>F.F. #734</t>
  </si>
  <si>
    <t>F.F. #735</t>
  </si>
  <si>
    <t>F.F. #736</t>
  </si>
  <si>
    <t>F.F. #737</t>
  </si>
  <si>
    <t>F.F. #738</t>
  </si>
  <si>
    <t>F.F. #739</t>
  </si>
  <si>
    <t>F.F. #740</t>
  </si>
  <si>
    <t>F.F. #741</t>
  </si>
  <si>
    <t>F.F. #742</t>
  </si>
  <si>
    <t>F.F. #743</t>
  </si>
  <si>
    <t>F.F. #744</t>
  </si>
  <si>
    <t>F.F. #745</t>
  </si>
  <si>
    <t>F.F. #746</t>
  </si>
  <si>
    <t>F.F. #747</t>
  </si>
  <si>
    <t>F.F. #748</t>
  </si>
  <si>
    <t>F.F. #749</t>
  </si>
  <si>
    <t>F.F. #750</t>
  </si>
  <si>
    <t>F.F. #751</t>
  </si>
  <si>
    <t>F.F. #752</t>
  </si>
  <si>
    <t>F.F. #753</t>
  </si>
  <si>
    <t>F.F. #754</t>
  </si>
  <si>
    <t>F.F. #755</t>
  </si>
  <si>
    <t>F.F. #756</t>
  </si>
  <si>
    <t>F.F. #757</t>
  </si>
  <si>
    <t>F.F. #758</t>
  </si>
  <si>
    <t>F.F. #759</t>
  </si>
  <si>
    <t>F.F. #760</t>
  </si>
  <si>
    <t>F.F. #761</t>
  </si>
  <si>
    <t>F.F. #762</t>
  </si>
  <si>
    <t>F.F. #763</t>
  </si>
  <si>
    <t>F.F. #764</t>
  </si>
  <si>
    <t>F.F. #765</t>
  </si>
  <si>
    <t>F.F. #766</t>
  </si>
  <si>
    <t>F.F. #767</t>
  </si>
  <si>
    <t>F.F. #768</t>
  </si>
  <si>
    <t>F.F. #769</t>
  </si>
  <si>
    <t>F.F. #770</t>
  </si>
  <si>
    <t>F.F. #771</t>
  </si>
  <si>
    <t>F.F. #772</t>
  </si>
  <si>
    <t>F.F. #773</t>
  </si>
  <si>
    <t>F.F. #774</t>
  </si>
  <si>
    <t>F.F. #775</t>
  </si>
  <si>
    <t>F.F. #776</t>
  </si>
  <si>
    <t>F.F. #777</t>
  </si>
  <si>
    <t>F.F. #778</t>
  </si>
  <si>
    <t>F.F. #779</t>
  </si>
  <si>
    <t>F.F. #780</t>
  </si>
  <si>
    <t>F.F. #781</t>
  </si>
  <si>
    <t>F.F. #782</t>
  </si>
  <si>
    <t>F.F. #783</t>
  </si>
  <si>
    <t>F.F. #784</t>
  </si>
  <si>
    <t>F.F. #785</t>
  </si>
  <si>
    <t>F.F. #786</t>
  </si>
  <si>
    <t>F.F. #787</t>
  </si>
  <si>
    <t>F.F. #788</t>
  </si>
  <si>
    <t>F.F. #789</t>
  </si>
  <si>
    <t>F.F. #790</t>
  </si>
  <si>
    <t>F.F. #791</t>
  </si>
  <si>
    <t>F.F. #792</t>
  </si>
  <si>
    <t>F.F. #793</t>
  </si>
  <si>
    <t>F.F. #794</t>
  </si>
  <si>
    <t>F.F. #795</t>
  </si>
  <si>
    <t>F.F. #796</t>
  </si>
  <si>
    <t>F.F. #797</t>
  </si>
  <si>
    <t>F.F. #798</t>
  </si>
  <si>
    <t>F.F. #799</t>
  </si>
  <si>
    <t>PISO 11</t>
  </si>
  <si>
    <t>PISO 12</t>
  </si>
  <si>
    <t>TERRAZA S.</t>
  </si>
  <si>
    <t>CUBIERTA V.</t>
  </si>
  <si>
    <t>TABLA DE AREAS "CONDOMINIO VERTICAL RESIDENCIAL SABANA 60"</t>
  </si>
  <si>
    <t>Parcial (m2)</t>
  </si>
  <si>
    <t>Jardín de Macotas</t>
  </si>
  <si>
    <t>Zonas Verdes Planta Baja</t>
  </si>
  <si>
    <t>Rampas y Gradas de Acceso</t>
  </si>
  <si>
    <t>Administracion</t>
  </si>
  <si>
    <t>Baños Generales</t>
  </si>
  <si>
    <t>Gimnasio</t>
  </si>
  <si>
    <t>Lobby</t>
  </si>
  <si>
    <t>Piscina Adultos</t>
  </si>
  <si>
    <t>Terrazas Verdes</t>
  </si>
  <si>
    <t>Cuartos Tecnicos &amp; Cuarto de Acopio</t>
  </si>
  <si>
    <t>Parqueos de Visitas y Bicicletas</t>
  </si>
  <si>
    <t>Terraza Social</t>
  </si>
  <si>
    <t>Estacionamiento</t>
  </si>
  <si>
    <t>Estacionamiento y Bodega</t>
  </si>
  <si>
    <t>F.F. #391</t>
  </si>
  <si>
    <t>F.F. #392</t>
  </si>
  <si>
    <t>F.F. #393</t>
  </si>
  <si>
    <t>F.F. #394</t>
  </si>
  <si>
    <t>F.F. #395</t>
  </si>
  <si>
    <t>F.F. #396</t>
  </si>
  <si>
    <t>F.F. #397</t>
  </si>
  <si>
    <t>F.F. #398</t>
  </si>
  <si>
    <t>F.F. #399</t>
  </si>
  <si>
    <t>F.F. #400</t>
  </si>
  <si>
    <t>F.F. #401</t>
  </si>
  <si>
    <t>F.F. #402</t>
  </si>
  <si>
    <t>F.F. #403</t>
  </si>
  <si>
    <t>F.F. #404</t>
  </si>
  <si>
    <t>F.F. #405</t>
  </si>
  <si>
    <t>F.F. #406</t>
  </si>
  <si>
    <t>F.F. #407</t>
  </si>
  <si>
    <t>F.F. #408</t>
  </si>
  <si>
    <t>F.F. #409</t>
  </si>
  <si>
    <t>F.F. #410</t>
  </si>
  <si>
    <t>F.F. #411</t>
  </si>
  <si>
    <t>F.F. #412</t>
  </si>
  <si>
    <t>F.F. #413</t>
  </si>
  <si>
    <t>F.F. #414</t>
  </si>
  <si>
    <t>F.F. #415</t>
  </si>
  <si>
    <t>F.F. #416</t>
  </si>
  <si>
    <t>F.F. #417</t>
  </si>
  <si>
    <t>F.F. #418</t>
  </si>
  <si>
    <t>F.F. #419</t>
  </si>
  <si>
    <t>F.F. #420</t>
  </si>
  <si>
    <t>F.F. #421</t>
  </si>
  <si>
    <t>F.F. #422</t>
  </si>
  <si>
    <t>F.F. #423</t>
  </si>
  <si>
    <t>F.F. #424</t>
  </si>
  <si>
    <t>F.F. #425</t>
  </si>
  <si>
    <t>F.F. #426</t>
  </si>
  <si>
    <t>F.F. #427</t>
  </si>
  <si>
    <t>F.F. #428</t>
  </si>
  <si>
    <t>F.F. #429</t>
  </si>
  <si>
    <t>F.F. #430</t>
  </si>
  <si>
    <t>F.F. #431</t>
  </si>
  <si>
    <t>F.F. #432</t>
  </si>
  <si>
    <t>F.F. #433</t>
  </si>
  <si>
    <t>F.F. #434</t>
  </si>
  <si>
    <t>F.F. #435</t>
  </si>
  <si>
    <t>F.F. #436</t>
  </si>
  <si>
    <t>F.F. #437</t>
  </si>
  <si>
    <t>F.F. #438</t>
  </si>
  <si>
    <t>F.F. #439</t>
  </si>
  <si>
    <t>F.F. #440</t>
  </si>
  <si>
    <t>F.F. #441</t>
  </si>
  <si>
    <t>F.F. #442</t>
  </si>
  <si>
    <t>F.F. #443</t>
  </si>
  <si>
    <t>F.F. #444</t>
  </si>
  <si>
    <t>F.F. #445</t>
  </si>
  <si>
    <t>F.F. #446</t>
  </si>
  <si>
    <t>F.F. #447</t>
  </si>
  <si>
    <t>F.F. #448</t>
  </si>
  <si>
    <t>F.F. #449</t>
  </si>
  <si>
    <t>F.F. #450</t>
  </si>
  <si>
    <t>F.F. #451</t>
  </si>
  <si>
    <t>F.F. #452</t>
  </si>
  <si>
    <t>F.F. #453</t>
  </si>
  <si>
    <t>F.F. #454</t>
  </si>
  <si>
    <t>F.F. #455</t>
  </si>
  <si>
    <t>F.F. #456</t>
  </si>
  <si>
    <t>F.F. #457</t>
  </si>
  <si>
    <t>F.F. #458</t>
  </si>
  <si>
    <t>F.F. #459</t>
  </si>
  <si>
    <t>F.F. #460</t>
  </si>
  <si>
    <t>F.F. #461</t>
  </si>
  <si>
    <t>F.F. #462</t>
  </si>
  <si>
    <t>F.F. #463</t>
  </si>
  <si>
    <t>F.F. #464</t>
  </si>
  <si>
    <t>F.F. #465</t>
  </si>
  <si>
    <t>F.F. #466</t>
  </si>
  <si>
    <t>F.F. #467</t>
  </si>
  <si>
    <t>F.F. #468</t>
  </si>
  <si>
    <t>F.F. #469</t>
  </si>
  <si>
    <t>F.F. #470</t>
  </si>
  <si>
    <t>F.F. #471</t>
  </si>
  <si>
    <t>F.F. #472</t>
  </si>
  <si>
    <t>F.F. #473</t>
  </si>
  <si>
    <t>F.F. #474</t>
  </si>
  <si>
    <t>F.F. #475</t>
  </si>
  <si>
    <t>F.F. #476</t>
  </si>
  <si>
    <t>F.F. #477</t>
  </si>
  <si>
    <t>F.F. #478</t>
  </si>
  <si>
    <t>F.F. #479</t>
  </si>
  <si>
    <t>F.F. #480</t>
  </si>
  <si>
    <t>F.F. #481</t>
  </si>
  <si>
    <t>F.F. #482</t>
  </si>
  <si>
    <t>F.F. #483</t>
  </si>
  <si>
    <t>F.F. #484</t>
  </si>
  <si>
    <t>F.F. #485</t>
  </si>
  <si>
    <t>F.F. #486</t>
  </si>
  <si>
    <t>F.F. #487</t>
  </si>
  <si>
    <t>F.F. #488</t>
  </si>
  <si>
    <t>F.F. #489</t>
  </si>
  <si>
    <t>F.F. #490</t>
  </si>
  <si>
    <t>F.F. #491</t>
  </si>
  <si>
    <t>F.F. #492</t>
  </si>
  <si>
    <t>F.F. #493</t>
  </si>
  <si>
    <t>F.F. #494</t>
  </si>
  <si>
    <t>F.F. #495</t>
  </si>
  <si>
    <t>F.F. #496</t>
  </si>
  <si>
    <t>F.F. #497</t>
  </si>
  <si>
    <t>F.F. #498</t>
  </si>
  <si>
    <t>F.F. #499</t>
  </si>
  <si>
    <t>F.F. #500</t>
  </si>
  <si>
    <t>F.F. #501</t>
  </si>
  <si>
    <t>F.F. #502</t>
  </si>
  <si>
    <t>F.F. #503</t>
  </si>
  <si>
    <t>F.F. #504</t>
  </si>
  <si>
    <t>F.F. #505</t>
  </si>
  <si>
    <t>F.F. #506</t>
  </si>
  <si>
    <t>F.F. #507</t>
  </si>
  <si>
    <t>Sala de Proyeccion para Niños (Juegos Infantiles)</t>
  </si>
  <si>
    <t>Sala de Fiestas Infantiles (Juegos Infantiles)</t>
  </si>
  <si>
    <t>Area de Mesas de Pin Pon (Juegos Infantiles)</t>
  </si>
  <si>
    <t>Caja de Arena (Juegos Infantiles)</t>
  </si>
  <si>
    <t>Piscina de Niños (Juegos Infantiles)</t>
  </si>
  <si>
    <t>Area de Juegos Infantiles</t>
  </si>
  <si>
    <t>Espacio para Transformador</t>
  </si>
  <si>
    <t>Elementos Estructurales (Columnas &amp; Muros) y Paredes Comunales</t>
  </si>
  <si>
    <t>Barbacoa</t>
  </si>
  <si>
    <t>Area de Yoga</t>
  </si>
  <si>
    <t>Solario</t>
  </si>
  <si>
    <t>TORRE A</t>
  </si>
  <si>
    <t xml:space="preserve"> (Etapa 1)</t>
  </si>
  <si>
    <t>(Etapa 2)</t>
  </si>
  <si>
    <t>TORRE B</t>
  </si>
  <si>
    <t>Cubierta Verde</t>
  </si>
  <si>
    <r>
      <rPr>
        <sz val="11"/>
        <color theme="1"/>
        <rFont val="Calibri"/>
        <family val="2"/>
        <scheme val="minor"/>
      </rP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</si>
  <si>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Jardín de Mascotas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</si>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</sst>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00000"/>
  </numFmts>
  <fonts count="10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rgb="FFFFBFAB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indexed="64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/>
      <top style="thin">
        <color rgb="FFC00000"/>
      </top>
      <bottom style="thin">
        <color rgb="FFC00000"/>
      </bottom>
      <diagonal/>
    </border>
    <border>
      <left style="medium">
        <color indexed="64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indexed="64"/>
      </right>
      <top style="thin">
        <color rgb="FFC00000"/>
      </top>
      <bottom style="thin">
        <color rgb="FFC00000"/>
      </bottom>
      <diagonal/>
    </border>
    <border>
      <left style="medium">
        <color indexed="64"/>
      </left>
      <right style="medium">
        <color indexed="64"/>
      </right>
      <top style="thin">
        <color rgb="FFC00000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C00000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9" xfId="0" applyFont="1" applyBorder="1"/>
    <xf numFmtId="0" fontId="4" fillId="0" borderId="23" xfId="0" applyFont="1" applyBorder="1"/>
    <xf numFmtId="0" fontId="4" fillId="0" borderId="2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4" fontId="6" fillId="0" borderId="0" xfId="0" applyNumberFormat="1" applyFont="1"/>
    <xf numFmtId="0" fontId="0" fillId="0" borderId="1" xfId="0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5" xfId="0" applyBorder="1"/>
    <xf numFmtId="2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/>
    <xf numFmtId="2" fontId="6" fillId="0" borderId="15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0" fillId="0" borderId="40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2" fontId="6" fillId="0" borderId="26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2" fontId="6" fillId="0" borderId="40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9" xfId="0" applyBorder="1"/>
    <xf numFmtId="0" fontId="0" fillId="0" borderId="23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0" fontId="0" fillId="0" borderId="25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2" fontId="0" fillId="0" borderId="13" xfId="0" applyNumberForma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0" fillId="0" borderId="17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0" fontId="0" fillId="0" borderId="18" xfId="0" applyBorder="1"/>
    <xf numFmtId="2" fontId="0" fillId="0" borderId="15" xfId="0" applyNumberFormat="1" applyBorder="1" applyAlignment="1">
      <alignment horizontal="center" vertical="center"/>
    </xf>
    <xf numFmtId="0" fontId="0" fillId="0" borderId="19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" fontId="6" fillId="0" borderId="25" xfId="0" applyNumberFormat="1" applyFont="1" applyBorder="1" applyAlignment="1">
      <alignment horizontal="center"/>
    </xf>
    <xf numFmtId="4" fontId="6" fillId="0" borderId="26" xfId="0" applyNumberFormat="1" applyFont="1" applyBorder="1" applyAlignment="1">
      <alignment horizontal="center"/>
    </xf>
    <xf numFmtId="4" fontId="6" fillId="0" borderId="27" xfId="0" applyNumberFormat="1" applyFont="1" applyBorder="1" applyAlignment="1">
      <alignment horizontal="center"/>
    </xf>
    <xf numFmtId="4" fontId="6" fillId="0" borderId="46" xfId="0" applyNumberFormat="1" applyFont="1" applyBorder="1" applyAlignment="1">
      <alignment horizontal="center"/>
    </xf>
    <xf numFmtId="4" fontId="6" fillId="0" borderId="25" xfId="0" applyNumberFormat="1" applyFont="1" applyBorder="1" applyAlignment="1">
      <alignment horizontal="center" vertical="center"/>
    </xf>
    <xf numFmtId="4" fontId="6" fillId="0" borderId="40" xfId="0" applyNumberFormat="1" applyFont="1" applyBorder="1" applyAlignment="1">
      <alignment horizontal="center" vertical="center"/>
    </xf>
    <xf numFmtId="4" fontId="6" fillId="0" borderId="26" xfId="0" applyNumberFormat="1" applyFont="1" applyBorder="1" applyAlignment="1">
      <alignment horizontal="center" vertical="center"/>
    </xf>
    <xf numFmtId="4" fontId="6" fillId="0" borderId="27" xfId="0" applyNumberFormat="1" applyFont="1" applyBorder="1" applyAlignment="1">
      <alignment horizontal="center" vertical="center"/>
    </xf>
    <xf numFmtId="0" fontId="8" fillId="0" borderId="0" xfId="0" applyFont="1"/>
    <xf numFmtId="0" fontId="0" fillId="0" borderId="47" xfId="0" applyBorder="1"/>
    <xf numFmtId="0" fontId="0" fillId="0" borderId="48" xfId="0" applyBorder="1"/>
    <xf numFmtId="2" fontId="0" fillId="0" borderId="48" xfId="0" applyNumberFormat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2" fontId="0" fillId="0" borderId="50" xfId="0" applyNumberFormat="1" applyBorder="1" applyAlignment="1">
      <alignment horizontal="center" vertical="center"/>
    </xf>
    <xf numFmtId="0" fontId="0" fillId="4" borderId="53" xfId="0" applyFill="1" applyBorder="1"/>
    <xf numFmtId="0" fontId="0" fillId="4" borderId="51" xfId="0" applyFill="1" applyBorder="1"/>
    <xf numFmtId="2" fontId="0" fillId="4" borderId="52" xfId="0" applyNumberFormat="1" applyFill="1" applyBorder="1" applyAlignment="1">
      <alignment horizontal="center" vertical="center"/>
    </xf>
    <xf numFmtId="2" fontId="0" fillId="4" borderId="54" xfId="0" applyNumberFormat="1" applyFill="1" applyBorder="1" applyAlignment="1">
      <alignment horizontal="center" vertical="center"/>
    </xf>
    <xf numFmtId="4" fontId="6" fillId="4" borderId="59" xfId="0" applyNumberFormat="1" applyFont="1" applyFill="1" applyBorder="1" applyAlignment="1">
      <alignment horizontal="center"/>
    </xf>
    <xf numFmtId="4" fontId="6" fillId="0" borderId="58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 wrapText="1"/>
    </xf>
    <xf numFmtId="164" fontId="4" fillId="0" borderId="12" xfId="0" applyNumberFormat="1" applyFont="1" applyBorder="1" applyAlignment="1">
      <alignment horizont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2" fontId="0" fillId="4" borderId="55" xfId="0" applyNumberFormat="1" applyFill="1" applyBorder="1" applyAlignment="1">
      <alignment horizontal="center" vertical="center"/>
    </xf>
    <xf numFmtId="2" fontId="0" fillId="4" borderId="56" xfId="0" applyNumberFormat="1" applyFill="1" applyBorder="1" applyAlignment="1">
      <alignment horizontal="center" vertical="center"/>
    </xf>
    <xf numFmtId="2" fontId="0" fillId="4" borderId="57" xfId="0" applyNumberForma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BFAB"/>
      <color rgb="FFFF9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887"/>
  <sheetViews>
    <sheetView tabSelected="1" topLeftCell="A835" zoomScale="70" zoomScaleNormal="70" zoomScaleSheetLayoutView="25" workbookViewId="0">
      <selection activeCell="L681" sqref="L681:W835"/>
    </sheetView>
  </sheetViews>
  <sheetFormatPr baseColWidth="10" defaultRowHeight="15" x14ac:dyDescent="0.25"/>
  <cols>
    <col min="3" max="3" width="16" customWidth="1"/>
    <col min="4" max="4" width="28.7109375" customWidth="1"/>
    <col min="5" max="25" width="12.42578125" style="1" customWidth="1"/>
    <col min="26" max="26" width="18.7109375" style="1" bestFit="1" customWidth="1"/>
    <col min="27" max="27" width="13.140625" style="6" customWidth="1"/>
    <col min="28" max="28" width="19.140625" style="20" customWidth="1"/>
  </cols>
  <sheetData>
    <row r="1" spans="2:28" ht="19.5" hidden="1" thickBot="1" x14ac:dyDescent="0.35">
      <c r="B1" s="140" t="s">
        <v>728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2"/>
    </row>
    <row r="2" spans="2:28" ht="15.95" hidden="1" customHeight="1" thickBot="1" x14ac:dyDescent="0.3">
      <c r="B2" s="35"/>
      <c r="C2" s="153" t="s">
        <v>24</v>
      </c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4"/>
    </row>
    <row r="3" spans="2:28" ht="15.95" hidden="1" customHeight="1" thickBot="1" x14ac:dyDescent="0.3">
      <c r="B3" s="36"/>
      <c r="C3" s="110" t="s">
        <v>0</v>
      </c>
      <c r="D3" s="113" t="s">
        <v>1</v>
      </c>
      <c r="E3" s="71"/>
      <c r="F3" s="72"/>
      <c r="G3" s="72"/>
      <c r="H3" s="72"/>
      <c r="I3" s="72"/>
      <c r="J3" s="72"/>
      <c r="K3" s="72"/>
      <c r="L3" s="72"/>
      <c r="M3" s="72"/>
      <c r="N3" s="72" t="s">
        <v>2</v>
      </c>
      <c r="O3" s="72"/>
      <c r="P3" s="72"/>
      <c r="Q3" s="72"/>
      <c r="R3" s="72"/>
      <c r="S3" s="72"/>
      <c r="T3" s="72"/>
      <c r="U3" s="72"/>
      <c r="V3" s="64"/>
      <c r="W3" s="64"/>
      <c r="X3" s="64"/>
      <c r="Y3" s="64"/>
      <c r="Z3" s="128" t="s">
        <v>3</v>
      </c>
      <c r="AA3" s="131" t="s">
        <v>4</v>
      </c>
      <c r="AB3" s="169" t="s">
        <v>5</v>
      </c>
    </row>
    <row r="4" spans="2:28" ht="15.75" hidden="1" thickBot="1" x14ac:dyDescent="0.3">
      <c r="B4" s="41"/>
      <c r="C4" s="111"/>
      <c r="D4" s="114"/>
      <c r="E4" s="10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38</v>
      </c>
      <c r="M4" s="9" t="s">
        <v>39</v>
      </c>
      <c r="N4" s="9" t="s">
        <v>40</v>
      </c>
      <c r="O4" s="9" t="s">
        <v>41</v>
      </c>
      <c r="P4" s="9" t="s">
        <v>42</v>
      </c>
      <c r="Q4" s="9" t="s">
        <v>43</v>
      </c>
      <c r="R4" s="9" t="s">
        <v>44</v>
      </c>
      <c r="S4" s="9" t="s">
        <v>45</v>
      </c>
      <c r="T4" s="9" t="s">
        <v>46</v>
      </c>
      <c r="U4" s="9" t="s">
        <v>47</v>
      </c>
      <c r="V4" s="9" t="s">
        <v>48</v>
      </c>
      <c r="W4" s="9" t="s">
        <v>49</v>
      </c>
      <c r="X4" s="9"/>
      <c r="Y4" s="9"/>
      <c r="Z4" s="129"/>
      <c r="AA4" s="132"/>
      <c r="AB4" s="170"/>
    </row>
    <row r="5" spans="2:28" ht="18" hidden="1" thickBot="1" x14ac:dyDescent="0.3">
      <c r="B5" s="41"/>
      <c r="C5" s="112"/>
      <c r="D5" s="115"/>
      <c r="E5" s="11" t="s">
        <v>107</v>
      </c>
      <c r="F5" s="12" t="s">
        <v>107</v>
      </c>
      <c r="G5" s="12" t="s">
        <v>107</v>
      </c>
      <c r="H5" s="12" t="s">
        <v>107</v>
      </c>
      <c r="I5" s="12" t="s">
        <v>107</v>
      </c>
      <c r="J5" s="12" t="s">
        <v>107</v>
      </c>
      <c r="K5" s="12" t="s">
        <v>107</v>
      </c>
      <c r="L5" s="12" t="s">
        <v>107</v>
      </c>
      <c r="M5" s="12" t="s">
        <v>107</v>
      </c>
      <c r="N5" s="12" t="s">
        <v>107</v>
      </c>
      <c r="O5" s="12" t="s">
        <v>107</v>
      </c>
      <c r="P5" s="12" t="s">
        <v>107</v>
      </c>
      <c r="Q5" s="12" t="s">
        <v>107</v>
      </c>
      <c r="R5" s="12" t="s">
        <v>107</v>
      </c>
      <c r="S5" s="12" t="s">
        <v>107</v>
      </c>
      <c r="T5" s="12" t="s">
        <v>107</v>
      </c>
      <c r="U5" s="12" t="s">
        <v>107</v>
      </c>
      <c r="V5" s="12" t="s">
        <v>107</v>
      </c>
      <c r="W5" s="12" t="s">
        <v>107</v>
      </c>
      <c r="X5" s="12"/>
      <c r="Y5" s="12"/>
      <c r="Z5" s="130"/>
      <c r="AA5" s="133"/>
      <c r="AB5" s="21" t="s">
        <v>6</v>
      </c>
    </row>
    <row r="6" spans="2:28" hidden="1" x14ac:dyDescent="0.25">
      <c r="B6" s="41"/>
      <c r="C6" s="65" t="s">
        <v>7</v>
      </c>
      <c r="D6" s="66" t="s">
        <v>742</v>
      </c>
      <c r="E6" s="67">
        <v>29.97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3">
        <f t="shared" ref="Z6:Z66" si="0">SUM(E6:Y6)</f>
        <v>29.97</v>
      </c>
      <c r="AB6" s="19">
        <f t="shared" ref="AB6:AB69" si="1">+Z6/$AA$877</f>
        <v>1.1141234948459241E-3</v>
      </c>
    </row>
    <row r="7" spans="2:28" hidden="1" x14ac:dyDescent="0.25">
      <c r="B7" s="41"/>
      <c r="C7" s="68" t="s">
        <v>8</v>
      </c>
      <c r="D7" s="28" t="s">
        <v>742</v>
      </c>
      <c r="E7" s="69">
        <v>29.97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3">
        <f t="shared" si="0"/>
        <v>29.97</v>
      </c>
      <c r="AA7" s="38"/>
      <c r="AB7" s="22">
        <f t="shared" si="1"/>
        <v>1.1141234948459241E-3</v>
      </c>
    </row>
    <row r="8" spans="2:28" hidden="1" x14ac:dyDescent="0.25">
      <c r="B8" s="41"/>
      <c r="C8" s="68" t="s">
        <v>9</v>
      </c>
      <c r="D8" s="28" t="s">
        <v>742</v>
      </c>
      <c r="E8" s="69">
        <v>29.91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3">
        <f t="shared" si="0"/>
        <v>29.91</v>
      </c>
      <c r="AA8" s="38"/>
      <c r="AB8" s="22">
        <f t="shared" si="1"/>
        <v>1.1118930173787652E-3</v>
      </c>
    </row>
    <row r="9" spans="2:28" hidden="1" x14ac:dyDescent="0.25">
      <c r="B9" s="41"/>
      <c r="C9" s="68" t="s">
        <v>10</v>
      </c>
      <c r="D9" s="28" t="s">
        <v>37</v>
      </c>
      <c r="E9" s="69">
        <v>3.06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3">
        <f t="shared" si="0"/>
        <v>3.06</v>
      </c>
      <c r="AA9" s="38"/>
      <c r="AB9" s="22">
        <f t="shared" si="1"/>
        <v>1.1375435082510938E-4</v>
      </c>
    </row>
    <row r="10" spans="2:28" hidden="1" x14ac:dyDescent="0.25">
      <c r="B10" s="41"/>
      <c r="C10" s="68" t="s">
        <v>11</v>
      </c>
      <c r="D10" s="28" t="s">
        <v>37</v>
      </c>
      <c r="E10" s="69">
        <v>4.05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3">
        <f t="shared" si="0"/>
        <v>4.05</v>
      </c>
      <c r="AA10" s="38"/>
      <c r="AB10" s="22">
        <f t="shared" si="1"/>
        <v>1.50557229033233E-4</v>
      </c>
    </row>
    <row r="11" spans="2:28" hidden="1" x14ac:dyDescent="0.25">
      <c r="B11" s="41"/>
      <c r="C11" s="68" t="s">
        <v>12</v>
      </c>
      <c r="D11" s="28" t="s">
        <v>37</v>
      </c>
      <c r="E11" s="69">
        <v>2.5299999999999998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3">
        <f t="shared" si="0"/>
        <v>2.5299999999999998</v>
      </c>
      <c r="AA11" s="38"/>
      <c r="AB11" s="22">
        <f t="shared" si="1"/>
        <v>9.4051799865204803E-5</v>
      </c>
    </row>
    <row r="12" spans="2:28" hidden="1" x14ac:dyDescent="0.25">
      <c r="B12" s="41"/>
      <c r="C12" s="68" t="s">
        <v>13</v>
      </c>
      <c r="D12" s="28" t="s">
        <v>743</v>
      </c>
      <c r="E12" s="69">
        <v>18.5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3">
        <f t="shared" si="0"/>
        <v>18.5</v>
      </c>
      <c r="AA12" s="38"/>
      <c r="AB12" s="22">
        <f t="shared" si="1"/>
        <v>6.8773055237402727E-4</v>
      </c>
    </row>
    <row r="13" spans="2:28" hidden="1" x14ac:dyDescent="0.25">
      <c r="B13" s="41"/>
      <c r="C13" s="68" t="s">
        <v>14</v>
      </c>
      <c r="D13" s="28" t="s">
        <v>743</v>
      </c>
      <c r="E13" s="69">
        <v>17.940000000000001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3">
        <f t="shared" si="0"/>
        <v>17.940000000000001</v>
      </c>
      <c r="AA13" s="38"/>
      <c r="AB13" s="22">
        <f t="shared" si="1"/>
        <v>6.6691276268054326E-4</v>
      </c>
    </row>
    <row r="14" spans="2:28" hidden="1" x14ac:dyDescent="0.25">
      <c r="B14" s="41"/>
      <c r="C14" s="68" t="s">
        <v>15</v>
      </c>
      <c r="D14" s="28" t="s">
        <v>743</v>
      </c>
      <c r="E14" s="69">
        <v>17.88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3">
        <f t="shared" si="0"/>
        <v>17.88</v>
      </c>
      <c r="AA14" s="38"/>
      <c r="AB14" s="22">
        <f t="shared" si="1"/>
        <v>6.6468228521338415E-4</v>
      </c>
    </row>
    <row r="15" spans="2:28" hidden="1" x14ac:dyDescent="0.25">
      <c r="B15" s="41"/>
      <c r="C15" s="68" t="s">
        <v>16</v>
      </c>
      <c r="D15" s="28" t="s">
        <v>742</v>
      </c>
      <c r="E15" s="69">
        <v>14.3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3">
        <f t="shared" si="0"/>
        <v>14.3</v>
      </c>
      <c r="AA15" s="38"/>
      <c r="AB15" s="22">
        <f t="shared" si="1"/>
        <v>5.3159712967289674E-4</v>
      </c>
    </row>
    <row r="16" spans="2:28" hidden="1" x14ac:dyDescent="0.25">
      <c r="B16" s="41"/>
      <c r="C16" s="68" t="s">
        <v>17</v>
      </c>
      <c r="D16" s="28" t="s">
        <v>743</v>
      </c>
      <c r="E16" s="69">
        <v>17.91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3">
        <f t="shared" si="0"/>
        <v>17.91</v>
      </c>
      <c r="AA16" s="38"/>
      <c r="AB16" s="22">
        <f t="shared" si="1"/>
        <v>6.657975239469637E-4</v>
      </c>
    </row>
    <row r="17" spans="2:28" hidden="1" x14ac:dyDescent="0.25">
      <c r="B17" s="41"/>
      <c r="C17" s="82" t="s">
        <v>18</v>
      </c>
      <c r="D17" s="83" t="s">
        <v>743</v>
      </c>
      <c r="E17" s="84">
        <v>17.91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3">
        <f t="shared" si="0"/>
        <v>17.91</v>
      </c>
      <c r="AA17" s="38"/>
      <c r="AB17" s="22">
        <f t="shared" si="1"/>
        <v>6.657975239469637E-4</v>
      </c>
    </row>
    <row r="18" spans="2:28" hidden="1" x14ac:dyDescent="0.25">
      <c r="B18" s="41"/>
      <c r="C18" s="88" t="s">
        <v>19</v>
      </c>
      <c r="D18" s="89" t="s">
        <v>742</v>
      </c>
      <c r="E18" s="91">
        <v>17.940000000000001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3">
        <f t="shared" si="0"/>
        <v>17.940000000000001</v>
      </c>
      <c r="AA18" s="38"/>
      <c r="AB18" s="22">
        <f t="shared" si="1"/>
        <v>6.6691276268054326E-4</v>
      </c>
    </row>
    <row r="19" spans="2:28" hidden="1" x14ac:dyDescent="0.25">
      <c r="B19" s="41"/>
      <c r="C19" s="85" t="s">
        <v>20</v>
      </c>
      <c r="D19" s="86" t="s">
        <v>743</v>
      </c>
      <c r="E19" s="87">
        <v>19.23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3">
        <f t="shared" si="0"/>
        <v>19.23</v>
      </c>
      <c r="AA19" s="38"/>
      <c r="AB19" s="22">
        <f t="shared" si="1"/>
        <v>7.1486802822446184E-4</v>
      </c>
    </row>
    <row r="20" spans="2:28" hidden="1" x14ac:dyDescent="0.25">
      <c r="B20" s="41"/>
      <c r="C20" s="68" t="s">
        <v>21</v>
      </c>
      <c r="D20" s="28" t="s">
        <v>743</v>
      </c>
      <c r="E20" s="69">
        <v>21.99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3">
        <f t="shared" si="0"/>
        <v>21.99</v>
      </c>
      <c r="AA20" s="38"/>
      <c r="AB20" s="22">
        <f t="shared" si="1"/>
        <v>8.1746999171377613E-4</v>
      </c>
    </row>
    <row r="21" spans="2:28" hidden="1" x14ac:dyDescent="0.25">
      <c r="B21" s="41"/>
      <c r="C21" s="68" t="s">
        <v>22</v>
      </c>
      <c r="D21" s="28" t="s">
        <v>743</v>
      </c>
      <c r="E21" s="69">
        <v>19.03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3">
        <f t="shared" si="0"/>
        <v>19.03</v>
      </c>
      <c r="AA21" s="38"/>
      <c r="AB21" s="22">
        <f t="shared" si="1"/>
        <v>7.0743310333393195E-4</v>
      </c>
    </row>
    <row r="22" spans="2:28" hidden="1" x14ac:dyDescent="0.25">
      <c r="B22" s="41"/>
      <c r="C22" s="68" t="s">
        <v>23</v>
      </c>
      <c r="D22" s="28" t="s">
        <v>37</v>
      </c>
      <c r="E22" s="69">
        <v>9.23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3">
        <f t="shared" si="0"/>
        <v>9.23</v>
      </c>
      <c r="AA22" s="38"/>
      <c r="AB22" s="22">
        <f t="shared" si="1"/>
        <v>3.4312178369796064E-4</v>
      </c>
    </row>
    <row r="23" spans="2:28" hidden="1" x14ac:dyDescent="0.25">
      <c r="B23" s="41"/>
      <c r="C23" s="68" t="s">
        <v>55</v>
      </c>
      <c r="D23" s="28" t="s">
        <v>37</v>
      </c>
      <c r="E23" s="69">
        <v>10.49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3">
        <f t="shared" si="0"/>
        <v>10.49</v>
      </c>
      <c r="AA23" s="38"/>
      <c r="AB23" s="22">
        <f t="shared" si="1"/>
        <v>3.8996181050829983E-4</v>
      </c>
    </row>
    <row r="24" spans="2:28" hidden="1" x14ac:dyDescent="0.25">
      <c r="B24" s="41"/>
      <c r="C24" s="88" t="s">
        <v>56</v>
      </c>
      <c r="D24" s="89" t="s">
        <v>743</v>
      </c>
      <c r="E24" s="90">
        <v>23.12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3">
        <f t="shared" si="0"/>
        <v>23.12</v>
      </c>
      <c r="AA24" s="38"/>
      <c r="AB24" s="22">
        <f t="shared" si="1"/>
        <v>8.5947731734527092E-4</v>
      </c>
    </row>
    <row r="25" spans="2:28" hidden="1" x14ac:dyDescent="0.25">
      <c r="B25" s="41"/>
      <c r="C25" s="68" t="s">
        <v>57</v>
      </c>
      <c r="D25" s="28" t="s">
        <v>743</v>
      </c>
      <c r="E25" s="69">
        <v>17.68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3">
        <f t="shared" si="0"/>
        <v>17.68</v>
      </c>
      <c r="AA25" s="38"/>
      <c r="AB25" s="22">
        <f t="shared" si="1"/>
        <v>6.5724736032285415E-4</v>
      </c>
    </row>
    <row r="26" spans="2:28" hidden="1" x14ac:dyDescent="0.25">
      <c r="B26" s="41"/>
      <c r="C26" s="68" t="s">
        <v>58</v>
      </c>
      <c r="D26" s="28" t="s">
        <v>743</v>
      </c>
      <c r="E26" s="69">
        <v>17.739999999999998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3">
        <f t="shared" si="0"/>
        <v>17.739999999999998</v>
      </c>
      <c r="AA26" s="38"/>
      <c r="AB26" s="22">
        <f t="shared" si="1"/>
        <v>6.5947783779001315E-4</v>
      </c>
    </row>
    <row r="27" spans="2:28" hidden="1" x14ac:dyDescent="0.25">
      <c r="B27" s="41"/>
      <c r="C27" s="68" t="s">
        <v>59</v>
      </c>
      <c r="D27" s="28" t="s">
        <v>743</v>
      </c>
      <c r="E27" s="69">
        <v>17.739999999999998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3">
        <f t="shared" si="0"/>
        <v>17.739999999999998</v>
      </c>
      <c r="AA27" s="38"/>
      <c r="AB27" s="22">
        <f t="shared" si="1"/>
        <v>6.5947783779001315E-4</v>
      </c>
    </row>
    <row r="28" spans="2:28" hidden="1" x14ac:dyDescent="0.25">
      <c r="B28" s="41"/>
      <c r="C28" s="68" t="s">
        <v>60</v>
      </c>
      <c r="D28" s="28" t="s">
        <v>743</v>
      </c>
      <c r="E28" s="69">
        <v>17.68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3">
        <f t="shared" si="0"/>
        <v>17.68</v>
      </c>
      <c r="AA28" s="38"/>
      <c r="AB28" s="22">
        <f t="shared" si="1"/>
        <v>6.5724736032285415E-4</v>
      </c>
    </row>
    <row r="29" spans="2:28" hidden="1" x14ac:dyDescent="0.25">
      <c r="B29" s="41"/>
      <c r="C29" s="68" t="s">
        <v>61</v>
      </c>
      <c r="D29" s="28" t="s">
        <v>743</v>
      </c>
      <c r="E29" s="69">
        <v>17.739999999999998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3">
        <f t="shared" si="0"/>
        <v>17.739999999999998</v>
      </c>
      <c r="AA29" s="38"/>
      <c r="AB29" s="22">
        <f t="shared" si="1"/>
        <v>6.5947783779001315E-4</v>
      </c>
    </row>
    <row r="30" spans="2:28" hidden="1" x14ac:dyDescent="0.25">
      <c r="B30" s="41"/>
      <c r="C30" s="68" t="s">
        <v>62</v>
      </c>
      <c r="D30" s="28" t="s">
        <v>743</v>
      </c>
      <c r="E30" s="69">
        <v>17.739999999999998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3">
        <f t="shared" si="0"/>
        <v>17.739999999999998</v>
      </c>
      <c r="AA30" s="38"/>
      <c r="AB30" s="22">
        <f t="shared" si="1"/>
        <v>6.5947783779001315E-4</v>
      </c>
    </row>
    <row r="31" spans="2:28" hidden="1" x14ac:dyDescent="0.25">
      <c r="B31" s="41"/>
      <c r="C31" s="68" t="s">
        <v>63</v>
      </c>
      <c r="D31" s="28" t="s">
        <v>743</v>
      </c>
      <c r="E31" s="69">
        <v>17.68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3">
        <f t="shared" si="0"/>
        <v>17.68</v>
      </c>
      <c r="AA31" s="38"/>
      <c r="AB31" s="22">
        <f t="shared" si="1"/>
        <v>6.5724736032285415E-4</v>
      </c>
    </row>
    <row r="32" spans="2:28" hidden="1" x14ac:dyDescent="0.25">
      <c r="B32" s="41"/>
      <c r="C32" s="68" t="s">
        <v>64</v>
      </c>
      <c r="D32" s="28" t="s">
        <v>743</v>
      </c>
      <c r="E32" s="69">
        <v>17.68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3">
        <f t="shared" si="0"/>
        <v>17.68</v>
      </c>
      <c r="AA32" s="38"/>
      <c r="AB32" s="22">
        <f t="shared" si="1"/>
        <v>6.5724736032285415E-4</v>
      </c>
    </row>
    <row r="33" spans="2:28" hidden="1" x14ac:dyDescent="0.25">
      <c r="B33" s="41"/>
      <c r="C33" s="68" t="s">
        <v>65</v>
      </c>
      <c r="D33" s="28" t="s">
        <v>37</v>
      </c>
      <c r="E33" s="69">
        <v>2.85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3">
        <f t="shared" si="0"/>
        <v>2.85</v>
      </c>
      <c r="AA33" s="38"/>
      <c r="AB33" s="22">
        <f t="shared" si="1"/>
        <v>1.0594767969005285E-4</v>
      </c>
    </row>
    <row r="34" spans="2:28" hidden="1" x14ac:dyDescent="0.25">
      <c r="B34" s="41"/>
      <c r="C34" s="68" t="s">
        <v>66</v>
      </c>
      <c r="D34" s="28" t="s">
        <v>37</v>
      </c>
      <c r="E34" s="69">
        <v>5.12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3">
        <f t="shared" si="0"/>
        <v>5.12</v>
      </c>
      <c r="AA34" s="38"/>
      <c r="AB34" s="22">
        <f t="shared" si="1"/>
        <v>1.9033407719756863E-4</v>
      </c>
    </row>
    <row r="35" spans="2:28" hidden="1" x14ac:dyDescent="0.25">
      <c r="B35" s="41"/>
      <c r="C35" s="68" t="s">
        <v>67</v>
      </c>
      <c r="D35" s="28" t="s">
        <v>37</v>
      </c>
      <c r="E35" s="69">
        <v>4.53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3">
        <f t="shared" si="0"/>
        <v>4.53</v>
      </c>
      <c r="AA35" s="38"/>
      <c r="AB35" s="22">
        <f t="shared" si="1"/>
        <v>1.6840104877050507E-4</v>
      </c>
    </row>
    <row r="36" spans="2:28" hidden="1" x14ac:dyDescent="0.25">
      <c r="B36" s="41"/>
      <c r="C36" s="68" t="s">
        <v>68</v>
      </c>
      <c r="D36" s="28" t="s">
        <v>743</v>
      </c>
      <c r="E36" s="69">
        <v>18.149999999999999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3">
        <f t="shared" si="0"/>
        <v>18.149999999999999</v>
      </c>
      <c r="AA36" s="38"/>
      <c r="AB36" s="22">
        <f t="shared" si="1"/>
        <v>6.7471943381559971E-4</v>
      </c>
    </row>
    <row r="37" spans="2:28" hidden="1" x14ac:dyDescent="0.25">
      <c r="B37" s="41"/>
      <c r="C37" s="68" t="s">
        <v>69</v>
      </c>
      <c r="D37" s="28" t="s">
        <v>742</v>
      </c>
      <c r="E37" s="69">
        <v>14.5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3">
        <f t="shared" si="0"/>
        <v>14.5</v>
      </c>
      <c r="AA37" s="38"/>
      <c r="AB37" s="22">
        <f t="shared" si="1"/>
        <v>5.3903205456342675E-4</v>
      </c>
    </row>
    <row r="38" spans="2:28" hidden="1" x14ac:dyDescent="0.25">
      <c r="B38" s="41"/>
      <c r="C38" s="68" t="s">
        <v>70</v>
      </c>
      <c r="D38" s="28" t="s">
        <v>742</v>
      </c>
      <c r="E38" s="69">
        <v>14.71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3">
        <f t="shared" si="0"/>
        <v>14.71</v>
      </c>
      <c r="AA38" s="38"/>
      <c r="AB38" s="22">
        <f t="shared" si="1"/>
        <v>5.4683872569848331E-4</v>
      </c>
    </row>
    <row r="39" spans="2:28" hidden="1" x14ac:dyDescent="0.25">
      <c r="B39" s="41"/>
      <c r="C39" s="68" t="s">
        <v>71</v>
      </c>
      <c r="D39" s="28" t="s">
        <v>742</v>
      </c>
      <c r="E39" s="69">
        <v>14.71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3">
        <f t="shared" si="0"/>
        <v>14.71</v>
      </c>
      <c r="AA39" s="38"/>
      <c r="AB39" s="22">
        <f t="shared" si="1"/>
        <v>5.4683872569848331E-4</v>
      </c>
    </row>
    <row r="40" spans="2:28" hidden="1" x14ac:dyDescent="0.25">
      <c r="B40" s="41"/>
      <c r="C40" s="68" t="s">
        <v>72</v>
      </c>
      <c r="D40" s="28" t="s">
        <v>742</v>
      </c>
      <c r="E40" s="69">
        <v>14.5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3">
        <f t="shared" si="0"/>
        <v>14.5</v>
      </c>
      <c r="AA40" s="38"/>
      <c r="AB40" s="22">
        <f t="shared" si="1"/>
        <v>5.3903205456342675E-4</v>
      </c>
    </row>
    <row r="41" spans="2:28" hidden="1" x14ac:dyDescent="0.25">
      <c r="B41" s="41"/>
      <c r="C41" s="68" t="s">
        <v>73</v>
      </c>
      <c r="D41" s="28" t="s">
        <v>742</v>
      </c>
      <c r="E41" s="69">
        <v>14.5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3">
        <f t="shared" si="0"/>
        <v>14.5</v>
      </c>
      <c r="AA41" s="38"/>
      <c r="AB41" s="22">
        <f t="shared" si="1"/>
        <v>5.3903205456342675E-4</v>
      </c>
    </row>
    <row r="42" spans="2:28" hidden="1" x14ac:dyDescent="0.25">
      <c r="B42" s="41"/>
      <c r="C42" s="68" t="s">
        <v>74</v>
      </c>
      <c r="D42" s="28" t="s">
        <v>742</v>
      </c>
      <c r="E42" s="69"/>
      <c r="F42" s="3">
        <v>29.97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3">
        <f t="shared" si="0"/>
        <v>29.97</v>
      </c>
      <c r="AA42" s="38"/>
      <c r="AB42" s="22">
        <f t="shared" si="1"/>
        <v>1.1141234948459241E-3</v>
      </c>
    </row>
    <row r="43" spans="2:28" hidden="1" x14ac:dyDescent="0.25">
      <c r="B43" s="41"/>
      <c r="C43" s="68" t="s">
        <v>75</v>
      </c>
      <c r="D43" s="28" t="s">
        <v>742</v>
      </c>
      <c r="E43" s="69"/>
      <c r="F43" s="3">
        <v>29.97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3">
        <f t="shared" si="0"/>
        <v>29.97</v>
      </c>
      <c r="AA43" s="38"/>
      <c r="AB43" s="22">
        <f t="shared" si="1"/>
        <v>1.1141234948459241E-3</v>
      </c>
    </row>
    <row r="44" spans="2:28" hidden="1" x14ac:dyDescent="0.25">
      <c r="B44" s="41"/>
      <c r="C44" s="68" t="s">
        <v>76</v>
      </c>
      <c r="D44" s="28" t="s">
        <v>742</v>
      </c>
      <c r="E44" s="69"/>
      <c r="F44" s="3">
        <v>29.91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3">
        <f t="shared" si="0"/>
        <v>29.91</v>
      </c>
      <c r="AA44" s="38"/>
      <c r="AB44" s="22">
        <f t="shared" si="1"/>
        <v>1.1118930173787652E-3</v>
      </c>
    </row>
    <row r="45" spans="2:28" hidden="1" x14ac:dyDescent="0.25">
      <c r="B45" s="41"/>
      <c r="C45" s="68" t="s">
        <v>77</v>
      </c>
      <c r="D45" s="28" t="s">
        <v>37</v>
      </c>
      <c r="E45" s="69"/>
      <c r="F45" s="3">
        <v>3.06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3">
        <f t="shared" si="0"/>
        <v>3.06</v>
      </c>
      <c r="AA45" s="38"/>
      <c r="AB45" s="22">
        <f t="shared" si="1"/>
        <v>1.1375435082510938E-4</v>
      </c>
    </row>
    <row r="46" spans="2:28" hidden="1" x14ac:dyDescent="0.25">
      <c r="B46" s="41"/>
      <c r="C46" s="68" t="s">
        <v>78</v>
      </c>
      <c r="D46" s="28" t="s">
        <v>37</v>
      </c>
      <c r="E46" s="69"/>
      <c r="F46" s="3">
        <v>4.05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3">
        <f t="shared" si="0"/>
        <v>4.05</v>
      </c>
      <c r="AA46" s="38"/>
      <c r="AB46" s="22">
        <f t="shared" si="1"/>
        <v>1.50557229033233E-4</v>
      </c>
    </row>
    <row r="47" spans="2:28" hidden="1" x14ac:dyDescent="0.25">
      <c r="B47" s="41"/>
      <c r="C47" s="68" t="s">
        <v>79</v>
      </c>
      <c r="D47" s="28" t="s">
        <v>37</v>
      </c>
      <c r="E47" s="69"/>
      <c r="F47" s="3">
        <v>2.5299999999999998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3">
        <f t="shared" si="0"/>
        <v>2.5299999999999998</v>
      </c>
      <c r="AA47" s="38"/>
      <c r="AB47" s="22">
        <f t="shared" si="1"/>
        <v>9.4051799865204803E-5</v>
      </c>
    </row>
    <row r="48" spans="2:28" hidden="1" x14ac:dyDescent="0.25">
      <c r="B48" s="41"/>
      <c r="C48" s="68" t="s">
        <v>80</v>
      </c>
      <c r="D48" s="28" t="s">
        <v>37</v>
      </c>
      <c r="E48" s="69"/>
      <c r="F48" s="3">
        <v>4.9800000000000004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3">
        <f t="shared" si="0"/>
        <v>4.9800000000000004</v>
      </c>
      <c r="AA48" s="38"/>
      <c r="AB48" s="22">
        <f t="shared" si="1"/>
        <v>1.8512962977419763E-4</v>
      </c>
    </row>
    <row r="49" spans="2:28" hidden="1" x14ac:dyDescent="0.25">
      <c r="B49" s="41"/>
      <c r="C49" s="68" t="s">
        <v>81</v>
      </c>
      <c r="D49" s="28" t="s">
        <v>37</v>
      </c>
      <c r="E49" s="69"/>
      <c r="F49" s="3">
        <v>4.68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3">
        <f t="shared" si="0"/>
        <v>4.68</v>
      </c>
      <c r="AA49" s="38"/>
      <c r="AB49" s="22">
        <f t="shared" si="1"/>
        <v>1.7397724243840257E-4</v>
      </c>
    </row>
    <row r="50" spans="2:28" hidden="1" x14ac:dyDescent="0.25">
      <c r="B50" s="41"/>
      <c r="C50" s="68" t="s">
        <v>82</v>
      </c>
      <c r="D50" s="28" t="s">
        <v>37</v>
      </c>
      <c r="E50" s="69"/>
      <c r="F50" s="3">
        <v>3.69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3">
        <f t="shared" si="0"/>
        <v>3.69</v>
      </c>
      <c r="AA50" s="38"/>
      <c r="AB50" s="22">
        <f t="shared" si="1"/>
        <v>1.3717436423027897E-4</v>
      </c>
    </row>
    <row r="51" spans="2:28" hidden="1" x14ac:dyDescent="0.25">
      <c r="B51" s="41"/>
      <c r="C51" s="68" t="s">
        <v>83</v>
      </c>
      <c r="D51" s="28" t="s">
        <v>37</v>
      </c>
      <c r="E51" s="69"/>
      <c r="F51" s="3">
        <v>5.59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3">
        <f t="shared" si="0"/>
        <v>5.59</v>
      </c>
      <c r="AA51" s="38"/>
      <c r="AB51" s="22">
        <f t="shared" si="1"/>
        <v>2.078061506903142E-4</v>
      </c>
    </row>
    <row r="52" spans="2:28" hidden="1" x14ac:dyDescent="0.25">
      <c r="B52" s="36" t="s">
        <v>872</v>
      </c>
      <c r="C52" s="68" t="s">
        <v>84</v>
      </c>
      <c r="D52" s="28" t="s">
        <v>37</v>
      </c>
      <c r="E52" s="69"/>
      <c r="F52" s="3">
        <v>4.4400000000000004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3">
        <f t="shared" si="0"/>
        <v>4.4400000000000004</v>
      </c>
      <c r="AA52" s="38"/>
      <c r="AB52" s="22">
        <f t="shared" si="1"/>
        <v>1.6505533256976656E-4</v>
      </c>
    </row>
    <row r="53" spans="2:28" hidden="1" x14ac:dyDescent="0.25">
      <c r="B53" s="36" t="s">
        <v>873</v>
      </c>
      <c r="C53" s="68" t="s">
        <v>85</v>
      </c>
      <c r="D53" s="28" t="s">
        <v>743</v>
      </c>
      <c r="E53" s="69"/>
      <c r="F53" s="3">
        <v>18.010000000000002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3">
        <f t="shared" si="0"/>
        <v>18.010000000000002</v>
      </c>
      <c r="AA53" s="38"/>
      <c r="AB53" s="22">
        <f t="shared" si="1"/>
        <v>6.6951498639222882E-4</v>
      </c>
    </row>
    <row r="54" spans="2:28" hidden="1" x14ac:dyDescent="0.25">
      <c r="B54" s="41"/>
      <c r="C54" s="68" t="s">
        <v>86</v>
      </c>
      <c r="D54" s="28" t="s">
        <v>743</v>
      </c>
      <c r="E54" s="69"/>
      <c r="F54" s="3">
        <v>17.91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3">
        <f t="shared" si="0"/>
        <v>17.91</v>
      </c>
      <c r="AA54" s="38"/>
      <c r="AB54" s="22">
        <f t="shared" si="1"/>
        <v>6.657975239469637E-4</v>
      </c>
    </row>
    <row r="55" spans="2:28" hidden="1" x14ac:dyDescent="0.25">
      <c r="B55" s="41"/>
      <c r="C55" s="68" t="s">
        <v>87</v>
      </c>
      <c r="D55" s="28" t="s">
        <v>743</v>
      </c>
      <c r="E55" s="69"/>
      <c r="F55" s="3">
        <v>17.91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3">
        <f t="shared" si="0"/>
        <v>17.91</v>
      </c>
      <c r="AA55" s="38"/>
      <c r="AB55" s="22">
        <f t="shared" si="1"/>
        <v>6.657975239469637E-4</v>
      </c>
    </row>
    <row r="56" spans="2:28" hidden="1" x14ac:dyDescent="0.25">
      <c r="B56" s="41"/>
      <c r="C56" s="88" t="s">
        <v>88</v>
      </c>
      <c r="D56" s="89" t="s">
        <v>742</v>
      </c>
      <c r="E56" s="90"/>
      <c r="F56" s="91">
        <v>17.940000000000001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3">
        <f t="shared" si="0"/>
        <v>17.940000000000001</v>
      </c>
      <c r="AA56" s="38"/>
      <c r="AB56" s="22">
        <f t="shared" si="1"/>
        <v>6.6691276268054326E-4</v>
      </c>
    </row>
    <row r="57" spans="2:28" hidden="1" x14ac:dyDescent="0.25">
      <c r="B57" s="41"/>
      <c r="C57" s="68" t="s">
        <v>89</v>
      </c>
      <c r="D57" s="28" t="s">
        <v>743</v>
      </c>
      <c r="E57" s="69"/>
      <c r="F57" s="3">
        <v>19.23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3">
        <f t="shared" si="0"/>
        <v>19.23</v>
      </c>
      <c r="AA57" s="38"/>
      <c r="AB57" s="22">
        <f t="shared" si="1"/>
        <v>7.1486802822446184E-4</v>
      </c>
    </row>
    <row r="58" spans="2:28" hidden="1" x14ac:dyDescent="0.25">
      <c r="B58" s="41"/>
      <c r="C58" s="68" t="s">
        <v>90</v>
      </c>
      <c r="D58" s="28" t="s">
        <v>743</v>
      </c>
      <c r="E58" s="69"/>
      <c r="F58" s="3">
        <v>21.99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3">
        <f t="shared" si="0"/>
        <v>21.99</v>
      </c>
      <c r="AA58" s="38"/>
      <c r="AB58" s="22">
        <f t="shared" si="1"/>
        <v>8.1746999171377613E-4</v>
      </c>
    </row>
    <row r="59" spans="2:28" hidden="1" x14ac:dyDescent="0.25">
      <c r="B59" s="41"/>
      <c r="C59" s="68" t="s">
        <v>91</v>
      </c>
      <c r="D59" s="28" t="s">
        <v>743</v>
      </c>
      <c r="E59" s="69"/>
      <c r="F59" s="3">
        <v>19.03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3">
        <f t="shared" si="0"/>
        <v>19.03</v>
      </c>
      <c r="AA59" s="38"/>
      <c r="AB59" s="22">
        <f t="shared" si="1"/>
        <v>7.0743310333393195E-4</v>
      </c>
    </row>
    <row r="60" spans="2:28" hidden="1" x14ac:dyDescent="0.25">
      <c r="B60" s="41"/>
      <c r="C60" s="68" t="s">
        <v>92</v>
      </c>
      <c r="D60" s="28" t="s">
        <v>37</v>
      </c>
      <c r="E60" s="69"/>
      <c r="F60" s="3">
        <v>9.23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3">
        <f t="shared" si="0"/>
        <v>9.23</v>
      </c>
      <c r="AA60" s="38"/>
      <c r="AB60" s="22">
        <f t="shared" si="1"/>
        <v>3.4312178369796064E-4</v>
      </c>
    </row>
    <row r="61" spans="2:28" hidden="1" x14ac:dyDescent="0.25">
      <c r="B61" s="41"/>
      <c r="C61" s="68" t="s">
        <v>93</v>
      </c>
      <c r="D61" s="28" t="s">
        <v>37</v>
      </c>
      <c r="E61" s="3"/>
      <c r="F61" s="69">
        <v>10.49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3">
        <f t="shared" si="0"/>
        <v>10.49</v>
      </c>
      <c r="AA61" s="38"/>
      <c r="AB61" s="22">
        <f t="shared" si="1"/>
        <v>3.8996181050829983E-4</v>
      </c>
    </row>
    <row r="62" spans="2:28" hidden="1" x14ac:dyDescent="0.25">
      <c r="B62" s="41"/>
      <c r="C62" s="68" t="s">
        <v>94</v>
      </c>
      <c r="D62" s="28" t="s">
        <v>743</v>
      </c>
      <c r="E62" s="3"/>
      <c r="F62" s="69">
        <v>23.12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3">
        <f t="shared" si="0"/>
        <v>23.12</v>
      </c>
      <c r="AA62" s="38"/>
      <c r="AB62" s="22">
        <f t="shared" si="1"/>
        <v>8.5947731734527092E-4</v>
      </c>
    </row>
    <row r="63" spans="2:28" hidden="1" x14ac:dyDescent="0.25">
      <c r="B63" s="41"/>
      <c r="C63" s="68" t="s">
        <v>95</v>
      </c>
      <c r="D63" s="28" t="s">
        <v>743</v>
      </c>
      <c r="E63" s="3"/>
      <c r="F63" s="69">
        <v>17.68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3">
        <f t="shared" si="0"/>
        <v>17.68</v>
      </c>
      <c r="AA63" s="38"/>
      <c r="AB63" s="22">
        <f t="shared" si="1"/>
        <v>6.5724736032285415E-4</v>
      </c>
    </row>
    <row r="64" spans="2:28" hidden="1" x14ac:dyDescent="0.25">
      <c r="B64" s="41"/>
      <c r="C64" s="68" t="s">
        <v>96</v>
      </c>
      <c r="D64" s="28" t="s">
        <v>743</v>
      </c>
      <c r="E64" s="3"/>
      <c r="F64" s="69">
        <v>17.739999999999998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3">
        <f t="shared" si="0"/>
        <v>17.739999999999998</v>
      </c>
      <c r="AA64" s="38"/>
      <c r="AB64" s="22">
        <f t="shared" si="1"/>
        <v>6.5947783779001315E-4</v>
      </c>
    </row>
    <row r="65" spans="2:28" hidden="1" x14ac:dyDescent="0.25">
      <c r="B65" s="41"/>
      <c r="C65" s="68" t="s">
        <v>97</v>
      </c>
      <c r="D65" s="28" t="s">
        <v>743</v>
      </c>
      <c r="E65" s="3"/>
      <c r="F65" s="69">
        <v>17.739999999999998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3">
        <f t="shared" si="0"/>
        <v>17.739999999999998</v>
      </c>
      <c r="AA65" s="38"/>
      <c r="AB65" s="22">
        <f t="shared" si="1"/>
        <v>6.5947783779001315E-4</v>
      </c>
    </row>
    <row r="66" spans="2:28" hidden="1" x14ac:dyDescent="0.25">
      <c r="B66" s="41"/>
      <c r="C66" s="68" t="s">
        <v>98</v>
      </c>
      <c r="D66" s="28" t="s">
        <v>743</v>
      </c>
      <c r="E66" s="3"/>
      <c r="F66" s="69">
        <v>17.68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3">
        <f t="shared" si="0"/>
        <v>17.68</v>
      </c>
      <c r="AA66" s="38"/>
      <c r="AB66" s="22">
        <f t="shared" si="1"/>
        <v>6.5724736032285415E-4</v>
      </c>
    </row>
    <row r="67" spans="2:28" hidden="1" x14ac:dyDescent="0.25">
      <c r="B67" s="41"/>
      <c r="C67" s="68" t="s">
        <v>99</v>
      </c>
      <c r="D67" s="28" t="s">
        <v>743</v>
      </c>
      <c r="E67" s="3"/>
      <c r="F67" s="69">
        <v>17.739999999999998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3">
        <f t="shared" ref="Z67:Z127" si="2">SUM(E67:Y67)</f>
        <v>17.739999999999998</v>
      </c>
      <c r="AA67" s="38"/>
      <c r="AB67" s="22">
        <f t="shared" si="1"/>
        <v>6.5947783779001315E-4</v>
      </c>
    </row>
    <row r="68" spans="2:28" hidden="1" x14ac:dyDescent="0.25">
      <c r="B68" s="41"/>
      <c r="C68" s="68" t="s">
        <v>100</v>
      </c>
      <c r="D68" s="28" t="s">
        <v>743</v>
      </c>
      <c r="E68" s="3"/>
      <c r="F68" s="69">
        <v>17.739999999999998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3">
        <f t="shared" si="2"/>
        <v>17.739999999999998</v>
      </c>
      <c r="AA68" s="38"/>
      <c r="AB68" s="22">
        <f t="shared" si="1"/>
        <v>6.5947783779001315E-4</v>
      </c>
    </row>
    <row r="69" spans="2:28" hidden="1" x14ac:dyDescent="0.25">
      <c r="B69" s="41"/>
      <c r="C69" s="68" t="s">
        <v>101</v>
      </c>
      <c r="D69" s="28" t="s">
        <v>743</v>
      </c>
      <c r="E69" s="3"/>
      <c r="F69" s="69">
        <v>17.68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3">
        <f t="shared" si="2"/>
        <v>17.68</v>
      </c>
      <c r="AA69" s="38"/>
      <c r="AB69" s="22">
        <f t="shared" si="1"/>
        <v>6.5724736032285415E-4</v>
      </c>
    </row>
    <row r="70" spans="2:28" hidden="1" x14ac:dyDescent="0.25">
      <c r="B70" s="41"/>
      <c r="C70" s="68" t="s">
        <v>102</v>
      </c>
      <c r="D70" s="28" t="s">
        <v>743</v>
      </c>
      <c r="E70" s="3"/>
      <c r="F70" s="69">
        <v>17.68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3">
        <f t="shared" si="2"/>
        <v>17.68</v>
      </c>
      <c r="AA70" s="38"/>
      <c r="AB70" s="22">
        <f t="shared" ref="AB70:AB133" si="3">+Z70/$AA$877</f>
        <v>6.5724736032285415E-4</v>
      </c>
    </row>
    <row r="71" spans="2:28" hidden="1" x14ac:dyDescent="0.25">
      <c r="B71" s="41"/>
      <c r="C71" s="68" t="s">
        <v>103</v>
      </c>
      <c r="D71" s="28" t="s">
        <v>37</v>
      </c>
      <c r="E71" s="3"/>
      <c r="F71" s="69">
        <v>2.85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3">
        <f t="shared" si="2"/>
        <v>2.85</v>
      </c>
      <c r="AA71" s="38"/>
      <c r="AB71" s="22">
        <f t="shared" si="3"/>
        <v>1.0594767969005285E-4</v>
      </c>
    </row>
    <row r="72" spans="2:28" hidden="1" x14ac:dyDescent="0.25">
      <c r="B72" s="41"/>
      <c r="C72" s="68" t="s">
        <v>104</v>
      </c>
      <c r="D72" s="28" t="s">
        <v>37</v>
      </c>
      <c r="E72" s="3"/>
      <c r="F72" s="69">
        <v>5.12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3">
        <f t="shared" si="2"/>
        <v>5.12</v>
      </c>
      <c r="AA72" s="38"/>
      <c r="AB72" s="22">
        <f t="shared" si="3"/>
        <v>1.9033407719756863E-4</v>
      </c>
    </row>
    <row r="73" spans="2:28" hidden="1" x14ac:dyDescent="0.25">
      <c r="B73" s="41"/>
      <c r="C73" s="68" t="s">
        <v>105</v>
      </c>
      <c r="D73" s="28" t="s">
        <v>37</v>
      </c>
      <c r="E73" s="3"/>
      <c r="F73" s="69">
        <v>4.53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3">
        <f t="shared" si="2"/>
        <v>4.53</v>
      </c>
      <c r="AA73" s="38"/>
      <c r="AB73" s="22">
        <f t="shared" si="3"/>
        <v>1.6840104877050507E-4</v>
      </c>
    </row>
    <row r="74" spans="2:28" hidden="1" x14ac:dyDescent="0.25">
      <c r="B74" s="41"/>
      <c r="C74" s="68" t="s">
        <v>106</v>
      </c>
      <c r="D74" s="28" t="s">
        <v>743</v>
      </c>
      <c r="E74" s="3"/>
      <c r="F74" s="69">
        <v>18.149999999999999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3">
        <f t="shared" si="2"/>
        <v>18.149999999999999</v>
      </c>
      <c r="AA74" s="38"/>
      <c r="AB74" s="22">
        <f t="shared" si="3"/>
        <v>6.7471943381559971E-4</v>
      </c>
    </row>
    <row r="75" spans="2:28" hidden="1" x14ac:dyDescent="0.25">
      <c r="B75" s="41"/>
      <c r="C75" s="68" t="s">
        <v>110</v>
      </c>
      <c r="D75" s="28" t="s">
        <v>742</v>
      </c>
      <c r="E75" s="3"/>
      <c r="F75" s="69">
        <v>14.5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3">
        <f t="shared" si="2"/>
        <v>14.5</v>
      </c>
      <c r="AA75" s="38"/>
      <c r="AB75" s="22">
        <f t="shared" si="3"/>
        <v>5.3903205456342675E-4</v>
      </c>
    </row>
    <row r="76" spans="2:28" hidden="1" x14ac:dyDescent="0.25">
      <c r="B76" s="41"/>
      <c r="C76" s="68" t="s">
        <v>111</v>
      </c>
      <c r="D76" s="28" t="s">
        <v>742</v>
      </c>
      <c r="E76" s="3"/>
      <c r="F76" s="69">
        <v>14.71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3">
        <f t="shared" si="2"/>
        <v>14.71</v>
      </c>
      <c r="AA76" s="38"/>
      <c r="AB76" s="22">
        <f t="shared" si="3"/>
        <v>5.4683872569848331E-4</v>
      </c>
    </row>
    <row r="77" spans="2:28" hidden="1" x14ac:dyDescent="0.25">
      <c r="B77" s="36"/>
      <c r="C77" s="68" t="s">
        <v>112</v>
      </c>
      <c r="D77" s="28" t="s">
        <v>742</v>
      </c>
      <c r="E77" s="3"/>
      <c r="F77" s="69">
        <v>14.71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3">
        <f t="shared" si="2"/>
        <v>14.71</v>
      </c>
      <c r="AA77" s="38"/>
      <c r="AB77" s="22">
        <f t="shared" si="3"/>
        <v>5.4683872569848331E-4</v>
      </c>
    </row>
    <row r="78" spans="2:28" hidden="1" x14ac:dyDescent="0.25">
      <c r="B78" s="36"/>
      <c r="C78" s="68" t="s">
        <v>113</v>
      </c>
      <c r="D78" s="28" t="s">
        <v>742</v>
      </c>
      <c r="E78" s="3"/>
      <c r="F78" s="69">
        <v>14.5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3">
        <f t="shared" si="2"/>
        <v>14.5</v>
      </c>
      <c r="AA78" s="38"/>
      <c r="AB78" s="22">
        <f t="shared" si="3"/>
        <v>5.3903205456342675E-4</v>
      </c>
    </row>
    <row r="79" spans="2:28" hidden="1" x14ac:dyDescent="0.25">
      <c r="B79" s="41"/>
      <c r="C79" s="68" t="s">
        <v>114</v>
      </c>
      <c r="D79" s="28" t="s">
        <v>742</v>
      </c>
      <c r="E79" s="3"/>
      <c r="F79" s="69">
        <v>14.5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3">
        <f t="shared" si="2"/>
        <v>14.5</v>
      </c>
      <c r="AA79" s="38"/>
      <c r="AB79" s="22">
        <f t="shared" si="3"/>
        <v>5.3903205456342675E-4</v>
      </c>
    </row>
    <row r="80" spans="2:28" hidden="1" x14ac:dyDescent="0.25">
      <c r="B80" s="41"/>
      <c r="C80" s="68" t="s">
        <v>115</v>
      </c>
      <c r="D80" s="28" t="s">
        <v>742</v>
      </c>
      <c r="E80" s="3"/>
      <c r="F80" s="69"/>
      <c r="G80" s="3">
        <v>30.54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3">
        <f t="shared" si="2"/>
        <v>30.54</v>
      </c>
      <c r="AA80" s="38"/>
      <c r="AB80" s="22">
        <f t="shared" si="3"/>
        <v>1.1353130307839346E-3</v>
      </c>
    </row>
    <row r="81" spans="2:28" hidden="1" x14ac:dyDescent="0.25">
      <c r="B81" s="41"/>
      <c r="C81" s="88" t="s">
        <v>116</v>
      </c>
      <c r="D81" s="89" t="s">
        <v>742</v>
      </c>
      <c r="E81" s="90"/>
      <c r="F81" s="90"/>
      <c r="G81" s="90">
        <v>29.97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3">
        <f t="shared" si="2"/>
        <v>29.97</v>
      </c>
      <c r="AA81" s="38"/>
      <c r="AB81" s="22">
        <f t="shared" si="3"/>
        <v>1.1141234948459241E-3</v>
      </c>
    </row>
    <row r="82" spans="2:28" hidden="1" x14ac:dyDescent="0.25">
      <c r="B82" s="41"/>
      <c r="C82" s="88" t="s">
        <v>117</v>
      </c>
      <c r="D82" s="89" t="s">
        <v>742</v>
      </c>
      <c r="E82" s="90"/>
      <c r="F82" s="90"/>
      <c r="G82" s="90">
        <v>29.91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3">
        <f t="shared" si="2"/>
        <v>29.91</v>
      </c>
      <c r="AA82" s="38"/>
      <c r="AB82" s="22">
        <f t="shared" si="3"/>
        <v>1.1118930173787652E-3</v>
      </c>
    </row>
    <row r="83" spans="2:28" hidden="1" x14ac:dyDescent="0.25">
      <c r="B83" s="41"/>
      <c r="C83" s="88" t="s">
        <v>118</v>
      </c>
      <c r="D83" s="89" t="s">
        <v>37</v>
      </c>
      <c r="E83" s="90"/>
      <c r="F83" s="90"/>
      <c r="G83" s="90">
        <v>3.06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3">
        <f t="shared" si="2"/>
        <v>3.06</v>
      </c>
      <c r="AA83" s="38"/>
      <c r="AB83" s="22">
        <f t="shared" si="3"/>
        <v>1.1375435082510938E-4</v>
      </c>
    </row>
    <row r="84" spans="2:28" hidden="1" x14ac:dyDescent="0.25">
      <c r="B84" s="41"/>
      <c r="C84" s="88" t="s">
        <v>119</v>
      </c>
      <c r="D84" s="89" t="s">
        <v>37</v>
      </c>
      <c r="E84" s="90"/>
      <c r="F84" s="90"/>
      <c r="G84" s="90">
        <v>4.05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3">
        <f t="shared" si="2"/>
        <v>4.05</v>
      </c>
      <c r="AA84" s="38"/>
      <c r="AB84" s="22">
        <f t="shared" si="3"/>
        <v>1.50557229033233E-4</v>
      </c>
    </row>
    <row r="85" spans="2:28" hidden="1" x14ac:dyDescent="0.25">
      <c r="B85" s="41"/>
      <c r="C85" s="88" t="s">
        <v>120</v>
      </c>
      <c r="D85" s="89" t="s">
        <v>37</v>
      </c>
      <c r="E85" s="90"/>
      <c r="F85" s="90"/>
      <c r="G85" s="90">
        <v>2.5299999999999998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3">
        <f t="shared" si="2"/>
        <v>2.5299999999999998</v>
      </c>
      <c r="AA85" s="38"/>
      <c r="AB85" s="22">
        <f t="shared" si="3"/>
        <v>9.4051799865204803E-5</v>
      </c>
    </row>
    <row r="86" spans="2:28" hidden="1" x14ac:dyDescent="0.25">
      <c r="B86" s="41"/>
      <c r="C86" s="68" t="s">
        <v>121</v>
      </c>
      <c r="D86" s="28" t="s">
        <v>37</v>
      </c>
      <c r="E86" s="3"/>
      <c r="F86" s="69"/>
      <c r="G86" s="3">
        <v>5.14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3">
        <f t="shared" si="2"/>
        <v>5.14</v>
      </c>
      <c r="AA86" s="38"/>
      <c r="AB86" s="22">
        <f t="shared" si="3"/>
        <v>1.9107756968662163E-4</v>
      </c>
    </row>
    <row r="87" spans="2:28" hidden="1" x14ac:dyDescent="0.25">
      <c r="B87" s="41"/>
      <c r="C87" s="68" t="s">
        <v>122</v>
      </c>
      <c r="D87" s="28" t="s">
        <v>37</v>
      </c>
      <c r="E87" s="3"/>
      <c r="F87" s="69"/>
      <c r="G87" s="3">
        <v>4.96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3">
        <f t="shared" si="2"/>
        <v>4.96</v>
      </c>
      <c r="AA87" s="38"/>
      <c r="AB87" s="22">
        <f t="shared" si="3"/>
        <v>1.843861372851446E-4</v>
      </c>
    </row>
    <row r="88" spans="2:28" hidden="1" x14ac:dyDescent="0.25">
      <c r="B88" s="41"/>
      <c r="C88" s="68" t="s">
        <v>123</v>
      </c>
      <c r="D88" s="28" t="s">
        <v>37</v>
      </c>
      <c r="E88" s="3"/>
      <c r="F88" s="69"/>
      <c r="G88" s="3">
        <v>3.82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3">
        <f t="shared" si="2"/>
        <v>3.82</v>
      </c>
      <c r="AA88" s="38"/>
      <c r="AB88" s="22">
        <f t="shared" si="3"/>
        <v>1.4200706540912347E-4</v>
      </c>
    </row>
    <row r="89" spans="2:28" hidden="1" x14ac:dyDescent="0.25">
      <c r="B89" s="41"/>
      <c r="C89" s="68" t="s">
        <v>124</v>
      </c>
      <c r="D89" s="28" t="s">
        <v>37</v>
      </c>
      <c r="E89" s="3"/>
      <c r="F89" s="69"/>
      <c r="G89" s="3">
        <v>5.85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3">
        <f t="shared" si="2"/>
        <v>5.85</v>
      </c>
      <c r="AA89" s="38"/>
      <c r="AB89" s="22">
        <f t="shared" si="3"/>
        <v>2.1747155304800321E-4</v>
      </c>
    </row>
    <row r="90" spans="2:28" hidden="1" x14ac:dyDescent="0.25">
      <c r="B90" s="41"/>
      <c r="C90" s="68" t="s">
        <v>125</v>
      </c>
      <c r="D90" s="28" t="s">
        <v>37</v>
      </c>
      <c r="E90" s="3"/>
      <c r="F90" s="69"/>
      <c r="G90" s="3">
        <v>4.4400000000000004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3">
        <f t="shared" si="2"/>
        <v>4.4400000000000004</v>
      </c>
      <c r="AA90" s="38"/>
      <c r="AB90" s="22">
        <f t="shared" si="3"/>
        <v>1.6505533256976656E-4</v>
      </c>
    </row>
    <row r="91" spans="2:28" hidden="1" x14ac:dyDescent="0.25">
      <c r="B91" s="41"/>
      <c r="C91" s="68" t="s">
        <v>126</v>
      </c>
      <c r="D91" s="28" t="s">
        <v>743</v>
      </c>
      <c r="E91" s="3"/>
      <c r="F91" s="69"/>
      <c r="G91" s="3">
        <v>18.54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3">
        <f t="shared" si="2"/>
        <v>18.54</v>
      </c>
      <c r="AA91" s="38"/>
      <c r="AB91" s="22">
        <f t="shared" si="3"/>
        <v>6.8921753735213327E-4</v>
      </c>
    </row>
    <row r="92" spans="2:28" hidden="1" x14ac:dyDescent="0.25">
      <c r="B92" s="41"/>
      <c r="C92" s="68" t="s">
        <v>127</v>
      </c>
      <c r="D92" s="28" t="s">
        <v>743</v>
      </c>
      <c r="E92" s="3"/>
      <c r="F92" s="69"/>
      <c r="G92" s="3">
        <v>18.309999999999999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3">
        <f t="shared" si="2"/>
        <v>18.309999999999999</v>
      </c>
      <c r="AA92" s="38"/>
      <c r="AB92" s="22">
        <f t="shared" si="3"/>
        <v>6.8066737372802371E-4</v>
      </c>
    </row>
    <row r="93" spans="2:28" hidden="1" x14ac:dyDescent="0.25">
      <c r="B93" s="41"/>
      <c r="C93" s="68" t="s">
        <v>128</v>
      </c>
      <c r="D93" s="28" t="s">
        <v>743</v>
      </c>
      <c r="E93" s="3"/>
      <c r="F93" s="69"/>
      <c r="G93" s="3">
        <v>18.309999999999999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3">
        <f t="shared" si="2"/>
        <v>18.309999999999999</v>
      </c>
      <c r="AA93" s="38"/>
      <c r="AB93" s="22">
        <f t="shared" si="3"/>
        <v>6.8066737372802371E-4</v>
      </c>
    </row>
    <row r="94" spans="2:28" hidden="1" x14ac:dyDescent="0.25">
      <c r="B94" s="41"/>
      <c r="C94" s="88" t="s">
        <v>129</v>
      </c>
      <c r="D94" s="89" t="s">
        <v>742</v>
      </c>
      <c r="E94" s="90"/>
      <c r="F94" s="90"/>
      <c r="G94" s="90">
        <v>18.46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3">
        <f t="shared" si="2"/>
        <v>18.46</v>
      </c>
      <c r="AA94" s="38"/>
      <c r="AB94" s="22">
        <f t="shared" si="3"/>
        <v>6.8624356739592127E-4</v>
      </c>
    </row>
    <row r="95" spans="2:28" hidden="1" x14ac:dyDescent="0.25">
      <c r="B95" s="41"/>
      <c r="C95" s="68" t="s">
        <v>130</v>
      </c>
      <c r="D95" s="28" t="s">
        <v>743</v>
      </c>
      <c r="E95" s="3"/>
      <c r="F95" s="69"/>
      <c r="G95" s="3">
        <v>19.55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3">
        <f t="shared" si="2"/>
        <v>19.55</v>
      </c>
      <c r="AA95" s="38"/>
      <c r="AB95" s="22">
        <f t="shared" si="3"/>
        <v>7.2676390804930996E-4</v>
      </c>
    </row>
    <row r="96" spans="2:28" hidden="1" x14ac:dyDescent="0.25">
      <c r="B96" s="41"/>
      <c r="C96" s="68" t="s">
        <v>131</v>
      </c>
      <c r="D96" s="28" t="s">
        <v>743</v>
      </c>
      <c r="E96" s="3"/>
      <c r="F96" s="69"/>
      <c r="G96" s="3">
        <v>21.99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3">
        <f t="shared" si="2"/>
        <v>21.99</v>
      </c>
      <c r="AA96" s="38"/>
      <c r="AB96" s="22">
        <f t="shared" si="3"/>
        <v>8.1746999171377613E-4</v>
      </c>
    </row>
    <row r="97" spans="2:28" hidden="1" x14ac:dyDescent="0.25">
      <c r="B97" s="41"/>
      <c r="C97" s="68" t="s">
        <v>132</v>
      </c>
      <c r="D97" s="28" t="s">
        <v>743</v>
      </c>
      <c r="E97" s="3"/>
      <c r="F97" s="69"/>
      <c r="G97" s="3">
        <v>19.14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3">
        <f t="shared" si="2"/>
        <v>19.14</v>
      </c>
      <c r="AA97" s="38"/>
      <c r="AB97" s="22">
        <f t="shared" si="3"/>
        <v>7.115223120237234E-4</v>
      </c>
    </row>
    <row r="98" spans="2:28" hidden="1" x14ac:dyDescent="0.25">
      <c r="B98" s="41"/>
      <c r="C98" s="68" t="s">
        <v>133</v>
      </c>
      <c r="D98" s="28" t="s">
        <v>37</v>
      </c>
      <c r="E98" s="3"/>
      <c r="F98" s="69"/>
      <c r="G98" s="3">
        <v>9.65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3">
        <f t="shared" si="2"/>
        <v>9.65</v>
      </c>
      <c r="AA98" s="38"/>
      <c r="AB98" s="22">
        <f t="shared" si="3"/>
        <v>3.587351259680737E-4</v>
      </c>
    </row>
    <row r="99" spans="2:28" hidden="1" x14ac:dyDescent="0.25">
      <c r="B99" s="41"/>
      <c r="C99" s="68" t="s">
        <v>134</v>
      </c>
      <c r="D99" s="28" t="s">
        <v>37</v>
      </c>
      <c r="E99" s="3"/>
      <c r="F99" s="69"/>
      <c r="G99" s="3">
        <v>10.93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3">
        <f t="shared" si="2"/>
        <v>10.93</v>
      </c>
      <c r="AA99" s="38"/>
      <c r="AB99" s="22">
        <f t="shared" si="3"/>
        <v>4.0631864526746584E-4</v>
      </c>
    </row>
    <row r="100" spans="2:28" hidden="1" x14ac:dyDescent="0.25">
      <c r="B100" s="41"/>
      <c r="C100" s="68" t="s">
        <v>135</v>
      </c>
      <c r="D100" s="28" t="s">
        <v>743</v>
      </c>
      <c r="E100" s="3"/>
      <c r="F100" s="69"/>
      <c r="G100" s="3">
        <v>23.68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3">
        <f t="shared" si="2"/>
        <v>23.68</v>
      </c>
      <c r="AA100" s="38"/>
      <c r="AB100" s="22">
        <f t="shared" si="3"/>
        <v>8.8029510703875494E-4</v>
      </c>
    </row>
    <row r="101" spans="2:28" hidden="1" x14ac:dyDescent="0.25">
      <c r="B101" s="41"/>
      <c r="C101" s="68" t="s">
        <v>136</v>
      </c>
      <c r="D101" s="28" t="s">
        <v>743</v>
      </c>
      <c r="E101" s="3"/>
      <c r="F101" s="69"/>
      <c r="G101" s="3">
        <v>17.940000000000001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3">
        <f t="shared" si="2"/>
        <v>17.940000000000001</v>
      </c>
      <c r="AA101" s="38"/>
      <c r="AB101" s="22">
        <f t="shared" si="3"/>
        <v>6.6691276268054326E-4</v>
      </c>
    </row>
    <row r="102" spans="2:28" hidden="1" x14ac:dyDescent="0.25">
      <c r="B102" s="41"/>
      <c r="C102" s="68" t="s">
        <v>137</v>
      </c>
      <c r="D102" s="28" t="s">
        <v>743</v>
      </c>
      <c r="E102" s="3"/>
      <c r="F102" s="69"/>
      <c r="G102" s="3">
        <v>17.940000000000001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3">
        <f t="shared" si="2"/>
        <v>17.940000000000001</v>
      </c>
      <c r="AA102" s="38"/>
      <c r="AB102" s="22">
        <f t="shared" si="3"/>
        <v>6.6691276268054326E-4</v>
      </c>
    </row>
    <row r="103" spans="2:28" hidden="1" x14ac:dyDescent="0.25">
      <c r="B103" s="41"/>
      <c r="C103" s="68" t="s">
        <v>138</v>
      </c>
      <c r="D103" s="28" t="s">
        <v>743</v>
      </c>
      <c r="E103" s="3"/>
      <c r="F103" s="69"/>
      <c r="G103" s="3">
        <v>17.940000000000001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3">
        <f t="shared" si="2"/>
        <v>17.940000000000001</v>
      </c>
      <c r="AA103" s="38"/>
      <c r="AB103" s="22">
        <f t="shared" si="3"/>
        <v>6.6691276268054326E-4</v>
      </c>
    </row>
    <row r="104" spans="2:28" hidden="1" x14ac:dyDescent="0.25">
      <c r="B104" s="41"/>
      <c r="C104" s="68" t="s">
        <v>139</v>
      </c>
      <c r="D104" s="28" t="s">
        <v>743</v>
      </c>
      <c r="E104" s="3"/>
      <c r="F104" s="69"/>
      <c r="G104" s="3">
        <v>17.940000000000001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3">
        <f t="shared" si="2"/>
        <v>17.940000000000001</v>
      </c>
      <c r="AA104" s="38"/>
      <c r="AB104" s="22">
        <f t="shared" si="3"/>
        <v>6.6691276268054326E-4</v>
      </c>
    </row>
    <row r="105" spans="2:28" hidden="1" x14ac:dyDescent="0.25">
      <c r="B105" s="41"/>
      <c r="C105" s="68" t="s">
        <v>140</v>
      </c>
      <c r="D105" s="28" t="s">
        <v>743</v>
      </c>
      <c r="E105" s="3"/>
      <c r="F105" s="69"/>
      <c r="G105" s="3">
        <v>17.940000000000001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3">
        <f t="shared" si="2"/>
        <v>17.940000000000001</v>
      </c>
      <c r="AA105" s="38"/>
      <c r="AB105" s="22">
        <f t="shared" si="3"/>
        <v>6.6691276268054326E-4</v>
      </c>
    </row>
    <row r="106" spans="2:28" hidden="1" x14ac:dyDescent="0.25">
      <c r="B106" s="41"/>
      <c r="C106" s="68" t="s">
        <v>141</v>
      </c>
      <c r="D106" s="28" t="s">
        <v>743</v>
      </c>
      <c r="E106" s="3"/>
      <c r="F106" s="69"/>
      <c r="G106" s="3">
        <v>17.940000000000001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3">
        <f t="shared" si="2"/>
        <v>17.940000000000001</v>
      </c>
      <c r="AA106" s="38"/>
      <c r="AB106" s="22">
        <f t="shared" si="3"/>
        <v>6.6691276268054326E-4</v>
      </c>
    </row>
    <row r="107" spans="2:28" hidden="1" x14ac:dyDescent="0.25">
      <c r="B107" s="41"/>
      <c r="C107" s="68" t="s">
        <v>142</v>
      </c>
      <c r="D107" s="28" t="s">
        <v>743</v>
      </c>
      <c r="E107" s="3"/>
      <c r="F107" s="69"/>
      <c r="G107" s="3">
        <v>17.940000000000001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3">
        <f t="shared" si="2"/>
        <v>17.940000000000001</v>
      </c>
      <c r="AA107" s="38"/>
      <c r="AB107" s="22">
        <f t="shared" si="3"/>
        <v>6.6691276268054326E-4</v>
      </c>
    </row>
    <row r="108" spans="2:28" hidden="1" x14ac:dyDescent="0.25">
      <c r="B108" s="41"/>
      <c r="C108" s="68" t="s">
        <v>143</v>
      </c>
      <c r="D108" s="28" t="s">
        <v>743</v>
      </c>
      <c r="E108" s="3"/>
      <c r="F108" s="69"/>
      <c r="G108" s="3">
        <v>17.940000000000001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3">
        <f t="shared" si="2"/>
        <v>17.940000000000001</v>
      </c>
      <c r="AA108" s="38"/>
      <c r="AB108" s="22">
        <f t="shared" si="3"/>
        <v>6.6691276268054326E-4</v>
      </c>
    </row>
    <row r="109" spans="2:28" hidden="1" x14ac:dyDescent="0.25">
      <c r="B109" s="41"/>
      <c r="C109" s="68" t="s">
        <v>144</v>
      </c>
      <c r="D109" s="28" t="s">
        <v>37</v>
      </c>
      <c r="E109" s="3"/>
      <c r="F109" s="69"/>
      <c r="G109" s="3">
        <v>2.85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3">
        <f t="shared" si="2"/>
        <v>2.85</v>
      </c>
      <c r="AA109" s="38"/>
      <c r="AB109" s="22">
        <f t="shared" si="3"/>
        <v>1.0594767969005285E-4</v>
      </c>
    </row>
    <row r="110" spans="2:28" hidden="1" x14ac:dyDescent="0.25">
      <c r="B110" s="41"/>
      <c r="C110" s="68" t="s">
        <v>145</v>
      </c>
      <c r="D110" s="28" t="s">
        <v>37</v>
      </c>
      <c r="E110" s="3"/>
      <c r="F110" s="69"/>
      <c r="G110" s="3">
        <v>5.12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3">
        <f t="shared" si="2"/>
        <v>5.12</v>
      </c>
      <c r="AA110" s="38"/>
      <c r="AB110" s="22">
        <f t="shared" si="3"/>
        <v>1.9033407719756863E-4</v>
      </c>
    </row>
    <row r="111" spans="2:28" hidden="1" x14ac:dyDescent="0.25">
      <c r="B111" s="41"/>
      <c r="C111" s="68" t="s">
        <v>146</v>
      </c>
      <c r="D111" s="28" t="s">
        <v>37</v>
      </c>
      <c r="E111" s="3"/>
      <c r="F111" s="69"/>
      <c r="G111" s="3">
        <v>4.53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3">
        <f t="shared" si="2"/>
        <v>4.53</v>
      </c>
      <c r="AA111" s="38"/>
      <c r="AB111" s="22">
        <f t="shared" si="3"/>
        <v>1.6840104877050507E-4</v>
      </c>
    </row>
    <row r="112" spans="2:28" hidden="1" x14ac:dyDescent="0.25">
      <c r="B112" s="41"/>
      <c r="C112" s="68" t="s">
        <v>147</v>
      </c>
      <c r="D112" s="28" t="s">
        <v>743</v>
      </c>
      <c r="E112" s="3"/>
      <c r="F112" s="69"/>
      <c r="G112" s="3">
        <v>18.43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3">
        <f t="shared" si="2"/>
        <v>18.43</v>
      </c>
      <c r="AA112" s="38"/>
      <c r="AB112" s="22">
        <f t="shared" si="3"/>
        <v>6.8512832866234172E-4</v>
      </c>
    </row>
    <row r="113" spans="2:28" hidden="1" x14ac:dyDescent="0.25">
      <c r="B113" s="41"/>
      <c r="C113" s="68" t="s">
        <v>148</v>
      </c>
      <c r="D113" s="28" t="s">
        <v>742</v>
      </c>
      <c r="E113" s="3"/>
      <c r="F113" s="69"/>
      <c r="G113" s="3">
        <v>14.76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3">
        <f t="shared" si="2"/>
        <v>14.76</v>
      </c>
      <c r="AA113" s="38"/>
      <c r="AB113" s="22">
        <f t="shared" si="3"/>
        <v>5.4869745692111586E-4</v>
      </c>
    </row>
    <row r="114" spans="2:28" hidden="1" x14ac:dyDescent="0.25">
      <c r="B114" s="41"/>
      <c r="C114" s="68" t="s">
        <v>149</v>
      </c>
      <c r="D114" s="28" t="s">
        <v>742</v>
      </c>
      <c r="E114" s="3"/>
      <c r="F114" s="69"/>
      <c r="G114" s="3">
        <v>14.92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3">
        <f t="shared" si="2"/>
        <v>14.92</v>
      </c>
      <c r="AA114" s="38"/>
      <c r="AB114" s="22">
        <f t="shared" si="3"/>
        <v>5.5464539683353986E-4</v>
      </c>
    </row>
    <row r="115" spans="2:28" hidden="1" x14ac:dyDescent="0.25">
      <c r="B115" s="41"/>
      <c r="C115" s="68" t="s">
        <v>150</v>
      </c>
      <c r="D115" s="28" t="s">
        <v>742</v>
      </c>
      <c r="E115" s="3"/>
      <c r="F115" s="69"/>
      <c r="G115" s="3">
        <v>14.92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3">
        <f t="shared" si="2"/>
        <v>14.92</v>
      </c>
      <c r="AA115" s="38"/>
      <c r="AB115" s="22">
        <f t="shared" si="3"/>
        <v>5.5464539683353986E-4</v>
      </c>
    </row>
    <row r="116" spans="2:28" hidden="1" x14ac:dyDescent="0.25">
      <c r="B116" s="41"/>
      <c r="C116" s="68" t="s">
        <v>151</v>
      </c>
      <c r="D116" s="28" t="s">
        <v>742</v>
      </c>
      <c r="E116" s="3"/>
      <c r="F116" s="69"/>
      <c r="G116" s="3">
        <v>14.76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3">
        <f t="shared" si="2"/>
        <v>14.76</v>
      </c>
      <c r="AA116" s="38"/>
      <c r="AB116" s="22">
        <f t="shared" si="3"/>
        <v>5.4869745692111586E-4</v>
      </c>
    </row>
    <row r="117" spans="2:28" hidden="1" x14ac:dyDescent="0.25">
      <c r="B117" s="41"/>
      <c r="C117" s="68" t="s">
        <v>152</v>
      </c>
      <c r="D117" s="28" t="s">
        <v>742</v>
      </c>
      <c r="E117" s="3"/>
      <c r="F117" s="69"/>
      <c r="G117" s="3">
        <v>15.04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3">
        <f t="shared" si="2"/>
        <v>15.04</v>
      </c>
      <c r="AA117" s="38"/>
      <c r="AB117" s="22">
        <f t="shared" si="3"/>
        <v>5.5910635176785787E-4</v>
      </c>
    </row>
    <row r="118" spans="2:28" hidden="1" x14ac:dyDescent="0.25">
      <c r="B118" s="41"/>
      <c r="C118" s="88" t="s">
        <v>153</v>
      </c>
      <c r="D118" s="89" t="s">
        <v>742</v>
      </c>
      <c r="E118" s="90"/>
      <c r="F118" s="90"/>
      <c r="G118" s="90"/>
      <c r="H118" s="90">
        <v>30.68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3">
        <f t="shared" si="2"/>
        <v>30.68</v>
      </c>
      <c r="AA118" s="38"/>
      <c r="AB118" s="22">
        <f t="shared" si="3"/>
        <v>1.1405174782073057E-3</v>
      </c>
    </row>
    <row r="119" spans="2:28" hidden="1" x14ac:dyDescent="0.25">
      <c r="B119" s="41"/>
      <c r="C119" s="88" t="s">
        <v>154</v>
      </c>
      <c r="D119" s="89" t="s">
        <v>742</v>
      </c>
      <c r="E119" s="90"/>
      <c r="F119" s="90"/>
      <c r="G119" s="90"/>
      <c r="H119" s="90">
        <v>30.1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3">
        <f t="shared" si="2"/>
        <v>30.1</v>
      </c>
      <c r="AA119" s="38"/>
      <c r="AB119" s="22">
        <f t="shared" si="3"/>
        <v>1.1189561960247688E-3</v>
      </c>
    </row>
    <row r="120" spans="2:28" hidden="1" x14ac:dyDescent="0.25">
      <c r="B120" s="41"/>
      <c r="C120" s="88" t="s">
        <v>155</v>
      </c>
      <c r="D120" s="89" t="s">
        <v>742</v>
      </c>
      <c r="E120" s="90"/>
      <c r="F120" s="90"/>
      <c r="G120" s="90"/>
      <c r="H120" s="90">
        <v>30.01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3">
        <f t="shared" si="2"/>
        <v>30.01</v>
      </c>
      <c r="AA120" s="38"/>
      <c r="AB120" s="22">
        <f t="shared" si="3"/>
        <v>1.1156104798240303E-3</v>
      </c>
    </row>
    <row r="121" spans="2:28" hidden="1" x14ac:dyDescent="0.25">
      <c r="B121" s="41"/>
      <c r="C121" s="68" t="s">
        <v>156</v>
      </c>
      <c r="D121" s="28" t="s">
        <v>37</v>
      </c>
      <c r="E121" s="3"/>
      <c r="F121" s="69"/>
      <c r="G121" s="3"/>
      <c r="H121" s="3">
        <v>3.06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3">
        <f t="shared" si="2"/>
        <v>3.06</v>
      </c>
      <c r="AA121" s="38"/>
      <c r="AB121" s="22">
        <f t="shared" si="3"/>
        <v>1.1375435082510938E-4</v>
      </c>
    </row>
    <row r="122" spans="2:28" hidden="1" x14ac:dyDescent="0.25">
      <c r="B122" s="41"/>
      <c r="C122" s="68" t="s">
        <v>157</v>
      </c>
      <c r="D122" s="28" t="s">
        <v>37</v>
      </c>
      <c r="E122" s="3"/>
      <c r="F122" s="69"/>
      <c r="G122" s="3"/>
      <c r="H122" s="3">
        <v>4.25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3">
        <f t="shared" si="2"/>
        <v>4.25</v>
      </c>
      <c r="AA122" s="38"/>
      <c r="AB122" s="22">
        <f t="shared" si="3"/>
        <v>1.5799215392376303E-4</v>
      </c>
    </row>
    <row r="123" spans="2:28" hidden="1" x14ac:dyDescent="0.25">
      <c r="B123" s="41"/>
      <c r="C123" s="68" t="s">
        <v>158</v>
      </c>
      <c r="D123" s="28" t="s">
        <v>37</v>
      </c>
      <c r="E123" s="3"/>
      <c r="F123" s="69"/>
      <c r="G123" s="3"/>
      <c r="H123" s="3">
        <v>2.9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3">
        <f t="shared" si="2"/>
        <v>2.9</v>
      </c>
      <c r="AA123" s="38"/>
      <c r="AB123" s="22">
        <f t="shared" si="3"/>
        <v>1.0780641091268535E-4</v>
      </c>
    </row>
    <row r="124" spans="2:28" hidden="1" x14ac:dyDescent="0.25">
      <c r="B124" s="41"/>
      <c r="C124" s="68" t="s">
        <v>159</v>
      </c>
      <c r="D124" s="28" t="s">
        <v>37</v>
      </c>
      <c r="E124" s="3"/>
      <c r="F124" s="69"/>
      <c r="G124" s="3"/>
      <c r="H124" s="3">
        <v>5.14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3">
        <f t="shared" si="2"/>
        <v>5.14</v>
      </c>
      <c r="AA124" s="38"/>
      <c r="AB124" s="22">
        <f t="shared" si="3"/>
        <v>1.9107756968662163E-4</v>
      </c>
    </row>
    <row r="125" spans="2:28" hidden="1" x14ac:dyDescent="0.25">
      <c r="B125" s="41"/>
      <c r="C125" s="68" t="s">
        <v>160</v>
      </c>
      <c r="D125" s="28" t="s">
        <v>37</v>
      </c>
      <c r="E125" s="3"/>
      <c r="F125" s="69"/>
      <c r="G125" s="3"/>
      <c r="H125" s="3">
        <v>4.96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3">
        <f t="shared" si="2"/>
        <v>4.96</v>
      </c>
      <c r="AA125" s="38"/>
      <c r="AB125" s="22">
        <f t="shared" si="3"/>
        <v>1.843861372851446E-4</v>
      </c>
    </row>
    <row r="126" spans="2:28" hidden="1" x14ac:dyDescent="0.25">
      <c r="B126" s="41"/>
      <c r="C126" s="68" t="s">
        <v>161</v>
      </c>
      <c r="D126" s="28" t="s">
        <v>37</v>
      </c>
      <c r="E126" s="3"/>
      <c r="F126" s="69"/>
      <c r="G126" s="3"/>
      <c r="H126" s="3">
        <v>3.82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3">
        <f t="shared" si="2"/>
        <v>3.82</v>
      </c>
      <c r="AA126" s="38"/>
      <c r="AB126" s="22">
        <f t="shared" si="3"/>
        <v>1.4200706540912347E-4</v>
      </c>
    </row>
    <row r="127" spans="2:28" hidden="1" x14ac:dyDescent="0.25">
      <c r="B127" s="41"/>
      <c r="C127" s="68" t="s">
        <v>162</v>
      </c>
      <c r="D127" s="28" t="s">
        <v>37</v>
      </c>
      <c r="E127" s="3"/>
      <c r="F127" s="69"/>
      <c r="G127" s="3"/>
      <c r="H127" s="3">
        <v>5.85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3">
        <f t="shared" si="2"/>
        <v>5.85</v>
      </c>
      <c r="AA127" s="38"/>
      <c r="AB127" s="22">
        <f t="shared" si="3"/>
        <v>2.1747155304800321E-4</v>
      </c>
    </row>
    <row r="128" spans="2:28" hidden="1" x14ac:dyDescent="0.25">
      <c r="B128" s="41"/>
      <c r="C128" s="68" t="s">
        <v>163</v>
      </c>
      <c r="D128" s="28" t="s">
        <v>37</v>
      </c>
      <c r="E128" s="3"/>
      <c r="F128" s="69"/>
      <c r="G128" s="3"/>
      <c r="H128" s="3">
        <v>4.4400000000000004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3">
        <f t="shared" ref="Z128:Z188" si="4">SUM(E128:Y128)</f>
        <v>4.4400000000000004</v>
      </c>
      <c r="AA128" s="38"/>
      <c r="AB128" s="22">
        <f t="shared" si="3"/>
        <v>1.6505533256976656E-4</v>
      </c>
    </row>
    <row r="129" spans="2:28" hidden="1" x14ac:dyDescent="0.25">
      <c r="B129" s="41"/>
      <c r="C129" s="68" t="s">
        <v>164</v>
      </c>
      <c r="D129" s="28" t="s">
        <v>743</v>
      </c>
      <c r="E129" s="3"/>
      <c r="F129" s="69"/>
      <c r="G129" s="3"/>
      <c r="H129" s="3">
        <v>18.54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3">
        <f t="shared" si="4"/>
        <v>18.54</v>
      </c>
      <c r="AA129" s="38"/>
      <c r="AB129" s="22">
        <f t="shared" si="3"/>
        <v>6.8921753735213327E-4</v>
      </c>
    </row>
    <row r="130" spans="2:28" hidden="1" x14ac:dyDescent="0.25">
      <c r="B130" s="41"/>
      <c r="C130" s="68" t="s">
        <v>165</v>
      </c>
      <c r="D130" s="28" t="s">
        <v>743</v>
      </c>
      <c r="E130" s="3"/>
      <c r="F130" s="69"/>
      <c r="G130" s="3"/>
      <c r="H130" s="3">
        <v>18.309999999999999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3">
        <f t="shared" si="4"/>
        <v>18.309999999999999</v>
      </c>
      <c r="AA130" s="38"/>
      <c r="AB130" s="22">
        <f t="shared" si="3"/>
        <v>6.8066737372802371E-4</v>
      </c>
    </row>
    <row r="131" spans="2:28" hidden="1" x14ac:dyDescent="0.25">
      <c r="B131" s="41"/>
      <c r="C131" s="68" t="s">
        <v>166</v>
      </c>
      <c r="D131" s="28" t="s">
        <v>743</v>
      </c>
      <c r="E131" s="3"/>
      <c r="F131" s="69"/>
      <c r="G131" s="3"/>
      <c r="H131" s="3">
        <v>18.309999999999999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3">
        <f t="shared" si="4"/>
        <v>18.309999999999999</v>
      </c>
      <c r="AA131" s="38"/>
      <c r="AB131" s="22">
        <f t="shared" si="3"/>
        <v>6.8066737372802371E-4</v>
      </c>
    </row>
    <row r="132" spans="2:28" hidden="1" x14ac:dyDescent="0.25">
      <c r="B132" s="41"/>
      <c r="C132" s="88" t="s">
        <v>167</v>
      </c>
      <c r="D132" s="89" t="s">
        <v>742</v>
      </c>
      <c r="E132" s="90"/>
      <c r="F132" s="90"/>
      <c r="G132" s="90"/>
      <c r="H132" s="90">
        <v>18.46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3">
        <f t="shared" si="4"/>
        <v>18.46</v>
      </c>
      <c r="AA132" s="38"/>
      <c r="AB132" s="22">
        <f t="shared" si="3"/>
        <v>6.8624356739592127E-4</v>
      </c>
    </row>
    <row r="133" spans="2:28" hidden="1" x14ac:dyDescent="0.25">
      <c r="B133" s="41"/>
      <c r="C133" s="68" t="s">
        <v>168</v>
      </c>
      <c r="D133" s="28" t="s">
        <v>743</v>
      </c>
      <c r="E133" s="3"/>
      <c r="F133" s="69"/>
      <c r="G133" s="3"/>
      <c r="H133" s="3">
        <v>19.55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3">
        <f t="shared" si="4"/>
        <v>19.55</v>
      </c>
      <c r="AA133" s="38"/>
      <c r="AB133" s="22">
        <f t="shared" si="3"/>
        <v>7.2676390804930996E-4</v>
      </c>
    </row>
    <row r="134" spans="2:28" hidden="1" x14ac:dyDescent="0.25">
      <c r="B134" s="41"/>
      <c r="C134" s="68" t="s">
        <v>169</v>
      </c>
      <c r="D134" s="28" t="s">
        <v>743</v>
      </c>
      <c r="E134" s="3"/>
      <c r="F134" s="69"/>
      <c r="G134" s="3"/>
      <c r="H134" s="3">
        <v>21.99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3">
        <f t="shared" si="4"/>
        <v>21.99</v>
      </c>
      <c r="AA134" s="38"/>
      <c r="AB134" s="22">
        <f t="shared" ref="AB134:AB197" si="5">+Z134/$AA$877</f>
        <v>8.1746999171377613E-4</v>
      </c>
    </row>
    <row r="135" spans="2:28" hidden="1" x14ac:dyDescent="0.25">
      <c r="B135" s="41"/>
      <c r="C135" s="68" t="s">
        <v>170</v>
      </c>
      <c r="D135" s="28" t="s">
        <v>743</v>
      </c>
      <c r="E135" s="3"/>
      <c r="F135" s="69"/>
      <c r="G135" s="3"/>
      <c r="H135" s="3">
        <v>19.14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3">
        <f t="shared" si="4"/>
        <v>19.14</v>
      </c>
      <c r="AA135" s="38"/>
      <c r="AB135" s="22">
        <f t="shared" si="5"/>
        <v>7.115223120237234E-4</v>
      </c>
    </row>
    <row r="136" spans="2:28" hidden="1" x14ac:dyDescent="0.25">
      <c r="B136" s="41"/>
      <c r="C136" s="68" t="s">
        <v>171</v>
      </c>
      <c r="D136" s="28" t="s">
        <v>37</v>
      </c>
      <c r="E136" s="3"/>
      <c r="F136" s="69"/>
      <c r="G136" s="3"/>
      <c r="H136" s="3">
        <v>9.65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3">
        <f t="shared" si="4"/>
        <v>9.65</v>
      </c>
      <c r="AA136" s="38"/>
      <c r="AB136" s="22">
        <f t="shared" si="5"/>
        <v>3.587351259680737E-4</v>
      </c>
    </row>
    <row r="137" spans="2:28" hidden="1" x14ac:dyDescent="0.25">
      <c r="B137" s="41"/>
      <c r="C137" s="68" t="s">
        <v>172</v>
      </c>
      <c r="D137" s="28" t="s">
        <v>37</v>
      </c>
      <c r="E137" s="3"/>
      <c r="F137" s="69"/>
      <c r="G137" s="3"/>
      <c r="H137" s="3">
        <v>10.93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3">
        <f t="shared" si="4"/>
        <v>10.93</v>
      </c>
      <c r="AA137" s="38"/>
      <c r="AB137" s="22">
        <f t="shared" si="5"/>
        <v>4.0631864526746584E-4</v>
      </c>
    </row>
    <row r="138" spans="2:28" hidden="1" x14ac:dyDescent="0.25">
      <c r="B138" s="41"/>
      <c r="C138" s="68" t="s">
        <v>173</v>
      </c>
      <c r="D138" s="28" t="s">
        <v>743</v>
      </c>
      <c r="E138" s="3"/>
      <c r="F138" s="69"/>
      <c r="G138" s="3"/>
      <c r="H138" s="3">
        <v>23.68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3">
        <f t="shared" si="4"/>
        <v>23.68</v>
      </c>
      <c r="AA138" s="38"/>
      <c r="AB138" s="22">
        <f t="shared" si="5"/>
        <v>8.8029510703875494E-4</v>
      </c>
    </row>
    <row r="139" spans="2:28" hidden="1" x14ac:dyDescent="0.25">
      <c r="B139" s="41"/>
      <c r="C139" s="68" t="s">
        <v>174</v>
      </c>
      <c r="D139" s="28" t="s">
        <v>743</v>
      </c>
      <c r="E139" s="3"/>
      <c r="F139" s="69"/>
      <c r="G139" s="3"/>
      <c r="H139" s="3">
        <v>17.940000000000001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3">
        <f t="shared" si="4"/>
        <v>17.940000000000001</v>
      </c>
      <c r="AA139" s="38"/>
      <c r="AB139" s="22">
        <f t="shared" si="5"/>
        <v>6.6691276268054326E-4</v>
      </c>
    </row>
    <row r="140" spans="2:28" hidden="1" x14ac:dyDescent="0.25">
      <c r="B140" s="41"/>
      <c r="C140" s="68" t="s">
        <v>175</v>
      </c>
      <c r="D140" s="28" t="s">
        <v>743</v>
      </c>
      <c r="E140" s="3"/>
      <c r="F140" s="69"/>
      <c r="G140" s="3"/>
      <c r="H140" s="3">
        <v>17.940000000000001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3">
        <f t="shared" si="4"/>
        <v>17.940000000000001</v>
      </c>
      <c r="AA140" s="38"/>
      <c r="AB140" s="22">
        <f t="shared" si="5"/>
        <v>6.6691276268054326E-4</v>
      </c>
    </row>
    <row r="141" spans="2:28" hidden="1" x14ac:dyDescent="0.25">
      <c r="B141" s="41"/>
      <c r="C141" s="88" t="s">
        <v>176</v>
      </c>
      <c r="D141" s="89" t="s">
        <v>742</v>
      </c>
      <c r="E141" s="90"/>
      <c r="F141" s="90"/>
      <c r="G141" s="90"/>
      <c r="H141" s="90">
        <v>17.940000000000001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3">
        <f t="shared" si="4"/>
        <v>17.940000000000001</v>
      </c>
      <c r="AA141" s="38"/>
      <c r="AB141" s="22">
        <f t="shared" si="5"/>
        <v>6.6691276268054326E-4</v>
      </c>
    </row>
    <row r="142" spans="2:28" hidden="1" x14ac:dyDescent="0.25">
      <c r="B142" s="41"/>
      <c r="C142" s="68" t="s">
        <v>177</v>
      </c>
      <c r="D142" s="28" t="s">
        <v>743</v>
      </c>
      <c r="E142" s="3"/>
      <c r="F142" s="69"/>
      <c r="G142" s="3"/>
      <c r="H142" s="3">
        <v>17.940000000000001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3">
        <f t="shared" si="4"/>
        <v>17.940000000000001</v>
      </c>
      <c r="AA142" s="38"/>
      <c r="AB142" s="22">
        <f t="shared" si="5"/>
        <v>6.6691276268054326E-4</v>
      </c>
    </row>
    <row r="143" spans="2:28" hidden="1" x14ac:dyDescent="0.25">
      <c r="B143" s="41"/>
      <c r="C143" s="68" t="s">
        <v>178</v>
      </c>
      <c r="D143" s="28" t="s">
        <v>743</v>
      </c>
      <c r="E143" s="3"/>
      <c r="F143" s="69"/>
      <c r="G143" s="3"/>
      <c r="H143" s="3">
        <v>17.940000000000001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3">
        <f t="shared" si="4"/>
        <v>17.940000000000001</v>
      </c>
      <c r="AA143" s="38"/>
      <c r="AB143" s="22">
        <f t="shared" si="5"/>
        <v>6.6691276268054326E-4</v>
      </c>
    </row>
    <row r="144" spans="2:28" hidden="1" x14ac:dyDescent="0.25">
      <c r="B144" s="41"/>
      <c r="C144" s="68" t="s">
        <v>179</v>
      </c>
      <c r="D144" s="28" t="s">
        <v>743</v>
      </c>
      <c r="E144" s="3"/>
      <c r="F144" s="69"/>
      <c r="G144" s="3"/>
      <c r="H144" s="3">
        <v>17.940000000000001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3">
        <f t="shared" si="4"/>
        <v>17.940000000000001</v>
      </c>
      <c r="AA144" s="38"/>
      <c r="AB144" s="22">
        <f t="shared" si="5"/>
        <v>6.6691276268054326E-4</v>
      </c>
    </row>
    <row r="145" spans="2:28" hidden="1" x14ac:dyDescent="0.25">
      <c r="B145" s="41"/>
      <c r="C145" s="68" t="s">
        <v>180</v>
      </c>
      <c r="D145" s="28" t="s">
        <v>743</v>
      </c>
      <c r="E145" s="3"/>
      <c r="F145" s="69"/>
      <c r="G145" s="3"/>
      <c r="H145" s="3">
        <v>17.940000000000001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3">
        <f t="shared" si="4"/>
        <v>17.940000000000001</v>
      </c>
      <c r="AA145" s="38"/>
      <c r="AB145" s="22">
        <f t="shared" si="5"/>
        <v>6.6691276268054326E-4</v>
      </c>
    </row>
    <row r="146" spans="2:28" hidden="1" x14ac:dyDescent="0.25">
      <c r="B146" s="41"/>
      <c r="C146" s="68" t="s">
        <v>181</v>
      </c>
      <c r="D146" s="28" t="s">
        <v>743</v>
      </c>
      <c r="E146" s="3"/>
      <c r="F146" s="69"/>
      <c r="G146" s="3"/>
      <c r="H146" s="3">
        <v>17.940000000000001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3">
        <f t="shared" si="4"/>
        <v>17.940000000000001</v>
      </c>
      <c r="AA146" s="38"/>
      <c r="AB146" s="22">
        <f t="shared" si="5"/>
        <v>6.6691276268054326E-4</v>
      </c>
    </row>
    <row r="147" spans="2:28" hidden="1" x14ac:dyDescent="0.25">
      <c r="B147" s="41"/>
      <c r="C147" s="68" t="s">
        <v>182</v>
      </c>
      <c r="D147" s="28" t="s">
        <v>37</v>
      </c>
      <c r="E147" s="3"/>
      <c r="F147" s="69"/>
      <c r="G147" s="3"/>
      <c r="H147" s="3">
        <v>2.85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3">
        <f t="shared" si="4"/>
        <v>2.85</v>
      </c>
      <c r="AA147" s="38"/>
      <c r="AB147" s="22">
        <f t="shared" si="5"/>
        <v>1.0594767969005285E-4</v>
      </c>
    </row>
    <row r="148" spans="2:28" hidden="1" x14ac:dyDescent="0.25">
      <c r="B148" s="41"/>
      <c r="C148" s="68" t="s">
        <v>183</v>
      </c>
      <c r="D148" s="28" t="s">
        <v>37</v>
      </c>
      <c r="E148" s="3"/>
      <c r="F148" s="69"/>
      <c r="G148" s="3"/>
      <c r="H148" s="3">
        <v>5.12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3">
        <f t="shared" si="4"/>
        <v>5.12</v>
      </c>
      <c r="AA148" s="38"/>
      <c r="AB148" s="22">
        <f t="shared" si="5"/>
        <v>1.9033407719756863E-4</v>
      </c>
    </row>
    <row r="149" spans="2:28" hidden="1" x14ac:dyDescent="0.25">
      <c r="B149" s="41"/>
      <c r="C149" s="68" t="s">
        <v>184</v>
      </c>
      <c r="D149" s="28" t="s">
        <v>37</v>
      </c>
      <c r="E149" s="3"/>
      <c r="F149" s="69"/>
      <c r="G149" s="3"/>
      <c r="H149" s="3">
        <v>4.53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3">
        <f t="shared" si="4"/>
        <v>4.53</v>
      </c>
      <c r="AA149" s="38"/>
      <c r="AB149" s="22">
        <f t="shared" si="5"/>
        <v>1.6840104877050507E-4</v>
      </c>
    </row>
    <row r="150" spans="2:28" hidden="1" x14ac:dyDescent="0.25">
      <c r="B150" s="41"/>
      <c r="C150" s="68" t="s">
        <v>185</v>
      </c>
      <c r="D150" s="28" t="s">
        <v>743</v>
      </c>
      <c r="E150" s="3"/>
      <c r="F150" s="69"/>
      <c r="G150" s="3"/>
      <c r="H150" s="3">
        <v>18.43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3">
        <f t="shared" si="4"/>
        <v>18.43</v>
      </c>
      <c r="AA150" s="38"/>
      <c r="AB150" s="22">
        <f t="shared" si="5"/>
        <v>6.8512832866234172E-4</v>
      </c>
    </row>
    <row r="151" spans="2:28" hidden="1" x14ac:dyDescent="0.25">
      <c r="B151" s="41"/>
      <c r="C151" s="68" t="s">
        <v>186</v>
      </c>
      <c r="D151" s="28" t="s">
        <v>742</v>
      </c>
      <c r="E151" s="3"/>
      <c r="F151" s="69"/>
      <c r="G151" s="3"/>
      <c r="H151" s="3">
        <v>14.76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3">
        <f t="shared" si="4"/>
        <v>14.76</v>
      </c>
      <c r="AA151" s="38"/>
      <c r="AB151" s="22">
        <f t="shared" si="5"/>
        <v>5.4869745692111586E-4</v>
      </c>
    </row>
    <row r="152" spans="2:28" hidden="1" x14ac:dyDescent="0.25">
      <c r="B152" s="41"/>
      <c r="C152" s="68" t="s">
        <v>187</v>
      </c>
      <c r="D152" s="28" t="s">
        <v>742</v>
      </c>
      <c r="E152" s="3"/>
      <c r="F152" s="69"/>
      <c r="G152" s="3"/>
      <c r="H152" s="3">
        <v>14.92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3">
        <f t="shared" si="4"/>
        <v>14.92</v>
      </c>
      <c r="AA152" s="38"/>
      <c r="AB152" s="22">
        <f t="shared" si="5"/>
        <v>5.5464539683353986E-4</v>
      </c>
    </row>
    <row r="153" spans="2:28" hidden="1" x14ac:dyDescent="0.25">
      <c r="B153" s="41"/>
      <c r="C153" s="68" t="s">
        <v>188</v>
      </c>
      <c r="D153" s="28" t="s">
        <v>742</v>
      </c>
      <c r="E153" s="3"/>
      <c r="F153" s="69"/>
      <c r="G153" s="3"/>
      <c r="H153" s="3">
        <v>14.92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3">
        <f t="shared" si="4"/>
        <v>14.92</v>
      </c>
      <c r="AA153" s="38"/>
      <c r="AB153" s="22">
        <f t="shared" si="5"/>
        <v>5.5464539683353986E-4</v>
      </c>
    </row>
    <row r="154" spans="2:28" hidden="1" x14ac:dyDescent="0.25">
      <c r="B154" s="41"/>
      <c r="C154" s="68" t="s">
        <v>189</v>
      </c>
      <c r="D154" s="28" t="s">
        <v>742</v>
      </c>
      <c r="E154" s="3"/>
      <c r="F154" s="69"/>
      <c r="G154" s="3"/>
      <c r="H154" s="3">
        <v>14.76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3">
        <f t="shared" si="4"/>
        <v>14.76</v>
      </c>
      <c r="AA154" s="38"/>
      <c r="AB154" s="22">
        <f t="shared" si="5"/>
        <v>5.4869745692111586E-4</v>
      </c>
    </row>
    <row r="155" spans="2:28" hidden="1" x14ac:dyDescent="0.25">
      <c r="B155" s="41"/>
      <c r="C155" s="68" t="s">
        <v>190</v>
      </c>
      <c r="D155" s="28" t="s">
        <v>742</v>
      </c>
      <c r="E155" s="3"/>
      <c r="F155" s="69"/>
      <c r="G155" s="3"/>
      <c r="H155" s="3">
        <v>15.04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3">
        <f t="shared" si="4"/>
        <v>15.04</v>
      </c>
      <c r="AA155" s="38"/>
      <c r="AB155" s="22">
        <f t="shared" si="5"/>
        <v>5.5910635176785787E-4</v>
      </c>
    </row>
    <row r="156" spans="2:28" hidden="1" x14ac:dyDescent="0.25">
      <c r="B156" s="41"/>
      <c r="C156" s="68" t="s">
        <v>191</v>
      </c>
      <c r="D156" s="28" t="s">
        <v>742</v>
      </c>
      <c r="E156" s="3"/>
      <c r="F156" s="69"/>
      <c r="G156" s="3"/>
      <c r="H156" s="3"/>
      <c r="I156" s="69">
        <v>31.53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3">
        <f t="shared" si="4"/>
        <v>31.53</v>
      </c>
      <c r="AA156" s="38"/>
      <c r="AB156" s="22">
        <f t="shared" si="5"/>
        <v>1.1721159089920585E-3</v>
      </c>
    </row>
    <row r="157" spans="2:28" hidden="1" x14ac:dyDescent="0.25">
      <c r="B157" s="41"/>
      <c r="C157" s="68" t="s">
        <v>192</v>
      </c>
      <c r="D157" s="28" t="s">
        <v>742</v>
      </c>
      <c r="E157" s="3"/>
      <c r="F157" s="69"/>
      <c r="G157" s="3"/>
      <c r="H157" s="3"/>
      <c r="I157" s="69">
        <v>30.5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3">
        <f t="shared" si="4"/>
        <v>30.5</v>
      </c>
      <c r="AA157" s="38"/>
      <c r="AB157" s="22">
        <f t="shared" si="5"/>
        <v>1.1338260458058289E-3</v>
      </c>
    </row>
    <row r="158" spans="2:28" hidden="1" x14ac:dyDescent="0.25">
      <c r="B158" s="41"/>
      <c r="C158" s="68" t="s">
        <v>193</v>
      </c>
      <c r="D158" s="28" t="s">
        <v>742</v>
      </c>
      <c r="E158" s="3"/>
      <c r="F158" s="69"/>
      <c r="G158" s="3"/>
      <c r="H158" s="3"/>
      <c r="I158" s="69">
        <v>30.31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3">
        <f t="shared" si="4"/>
        <v>30.31</v>
      </c>
      <c r="AA158" s="38"/>
      <c r="AB158" s="22">
        <f t="shared" si="5"/>
        <v>1.1267628671598252E-3</v>
      </c>
    </row>
    <row r="159" spans="2:28" hidden="1" x14ac:dyDescent="0.25">
      <c r="B159" s="41"/>
      <c r="C159" s="68" t="s">
        <v>194</v>
      </c>
      <c r="D159" s="28" t="s">
        <v>37</v>
      </c>
      <c r="E159" s="3"/>
      <c r="F159" s="69"/>
      <c r="G159" s="3"/>
      <c r="H159" s="3"/>
      <c r="I159" s="69">
        <v>3.06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3">
        <f t="shared" si="4"/>
        <v>3.06</v>
      </c>
      <c r="AA159" s="38"/>
      <c r="AB159" s="22">
        <f t="shared" si="5"/>
        <v>1.1375435082510938E-4</v>
      </c>
    </row>
    <row r="160" spans="2:28" hidden="1" x14ac:dyDescent="0.25">
      <c r="B160" s="36" t="s">
        <v>872</v>
      </c>
      <c r="C160" s="68" t="s">
        <v>195</v>
      </c>
      <c r="D160" s="28" t="s">
        <v>37</v>
      </c>
      <c r="E160" s="3"/>
      <c r="F160" s="69"/>
      <c r="G160" s="3"/>
      <c r="H160" s="3"/>
      <c r="I160" s="69">
        <v>4.25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3">
        <f t="shared" si="4"/>
        <v>4.25</v>
      </c>
      <c r="AA160" s="38"/>
      <c r="AB160" s="22">
        <f t="shared" si="5"/>
        <v>1.5799215392376303E-4</v>
      </c>
    </row>
    <row r="161" spans="2:28" hidden="1" x14ac:dyDescent="0.25">
      <c r="B161" s="36" t="s">
        <v>873</v>
      </c>
      <c r="C161" s="68" t="s">
        <v>196</v>
      </c>
      <c r="D161" s="28" t="s">
        <v>37</v>
      </c>
      <c r="E161" s="3"/>
      <c r="F161" s="69"/>
      <c r="G161" s="3"/>
      <c r="H161" s="3"/>
      <c r="I161" s="69">
        <v>2.9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3">
        <f t="shared" si="4"/>
        <v>2.9</v>
      </c>
      <c r="AA161" s="38"/>
      <c r="AB161" s="22">
        <f t="shared" si="5"/>
        <v>1.0780641091268535E-4</v>
      </c>
    </row>
    <row r="162" spans="2:28" hidden="1" x14ac:dyDescent="0.25">
      <c r="B162" s="41"/>
      <c r="C162" s="68" t="s">
        <v>197</v>
      </c>
      <c r="D162" s="28" t="s">
        <v>37</v>
      </c>
      <c r="E162" s="3"/>
      <c r="F162" s="69"/>
      <c r="G162" s="3"/>
      <c r="H162" s="3"/>
      <c r="I162" s="69">
        <v>3.76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3">
        <f t="shared" si="4"/>
        <v>3.76</v>
      </c>
      <c r="AA162" s="38"/>
      <c r="AB162" s="22">
        <f t="shared" si="5"/>
        <v>1.3977658794196447E-4</v>
      </c>
    </row>
    <row r="163" spans="2:28" hidden="1" x14ac:dyDescent="0.25">
      <c r="B163" s="41"/>
      <c r="C163" s="68" t="s">
        <v>198</v>
      </c>
      <c r="D163" s="28" t="s">
        <v>37</v>
      </c>
      <c r="E163" s="3"/>
      <c r="F163" s="69"/>
      <c r="G163" s="3"/>
      <c r="H163" s="3"/>
      <c r="I163" s="69">
        <v>3.34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3">
        <f t="shared" si="4"/>
        <v>3.34</v>
      </c>
      <c r="AA163" s="38"/>
      <c r="AB163" s="22">
        <f t="shared" si="5"/>
        <v>1.241632456718514E-4</v>
      </c>
    </row>
    <row r="164" spans="2:28" hidden="1" x14ac:dyDescent="0.25">
      <c r="B164" s="41"/>
      <c r="C164" s="68" t="s">
        <v>199</v>
      </c>
      <c r="D164" s="28" t="s">
        <v>37</v>
      </c>
      <c r="E164" s="3"/>
      <c r="F164" s="69"/>
      <c r="G164" s="3"/>
      <c r="H164" s="3"/>
      <c r="I164" s="69">
        <v>3.97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3">
        <f t="shared" si="4"/>
        <v>3.97</v>
      </c>
      <c r="AA164" s="38"/>
      <c r="AB164" s="22">
        <f t="shared" si="5"/>
        <v>1.47583259077021E-4</v>
      </c>
    </row>
    <row r="165" spans="2:28" hidden="1" x14ac:dyDescent="0.25">
      <c r="B165" s="41"/>
      <c r="C165" s="88" t="s">
        <v>200</v>
      </c>
      <c r="D165" s="89" t="s">
        <v>742</v>
      </c>
      <c r="E165" s="90"/>
      <c r="F165" s="90"/>
      <c r="G165" s="90"/>
      <c r="H165" s="90"/>
      <c r="I165" s="90">
        <v>18.46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3">
        <f t="shared" si="4"/>
        <v>18.46</v>
      </c>
      <c r="AA165" s="38"/>
      <c r="AB165" s="22">
        <f t="shared" si="5"/>
        <v>6.8624356739592127E-4</v>
      </c>
    </row>
    <row r="166" spans="2:28" hidden="1" x14ac:dyDescent="0.25">
      <c r="B166" s="41"/>
      <c r="C166" s="68" t="s">
        <v>201</v>
      </c>
      <c r="D166" s="28" t="s">
        <v>743</v>
      </c>
      <c r="E166" s="3"/>
      <c r="F166" s="69"/>
      <c r="G166" s="3"/>
      <c r="H166" s="3"/>
      <c r="I166" s="69">
        <v>19.55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3">
        <f t="shared" si="4"/>
        <v>19.55</v>
      </c>
      <c r="AA166" s="38"/>
      <c r="AB166" s="22">
        <f t="shared" si="5"/>
        <v>7.2676390804930996E-4</v>
      </c>
    </row>
    <row r="167" spans="2:28" hidden="1" x14ac:dyDescent="0.25">
      <c r="B167" s="41"/>
      <c r="C167" s="68" t="s">
        <v>202</v>
      </c>
      <c r="D167" s="28" t="s">
        <v>743</v>
      </c>
      <c r="E167" s="3"/>
      <c r="F167" s="69"/>
      <c r="G167" s="3"/>
      <c r="H167" s="3"/>
      <c r="I167" s="69">
        <v>22.79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3">
        <f t="shared" si="4"/>
        <v>22.79</v>
      </c>
      <c r="AA167" s="38"/>
      <c r="AB167" s="22">
        <f t="shared" si="5"/>
        <v>8.4720969127589625E-4</v>
      </c>
    </row>
    <row r="168" spans="2:28" hidden="1" x14ac:dyDescent="0.25">
      <c r="B168" s="41"/>
      <c r="C168" s="68" t="s">
        <v>203</v>
      </c>
      <c r="D168" s="28" t="s">
        <v>743</v>
      </c>
      <c r="E168" s="3"/>
      <c r="F168" s="69"/>
      <c r="G168" s="3"/>
      <c r="H168" s="3"/>
      <c r="I168" s="69">
        <v>20.02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3">
        <f t="shared" si="4"/>
        <v>20.02</v>
      </c>
      <c r="AA168" s="38"/>
      <c r="AB168" s="22">
        <f t="shared" si="5"/>
        <v>7.4423598154205542E-4</v>
      </c>
    </row>
    <row r="169" spans="2:28" hidden="1" x14ac:dyDescent="0.25">
      <c r="B169" s="41"/>
      <c r="C169" s="68" t="s">
        <v>204</v>
      </c>
      <c r="D169" s="28" t="s">
        <v>37</v>
      </c>
      <c r="E169" s="3"/>
      <c r="F169" s="69"/>
      <c r="G169" s="3"/>
      <c r="H169" s="3"/>
      <c r="I169" s="69">
        <v>3.63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3">
        <f t="shared" si="4"/>
        <v>3.63</v>
      </c>
      <c r="AA169" s="38"/>
      <c r="AB169" s="22">
        <f t="shared" si="5"/>
        <v>1.3494388676311994E-4</v>
      </c>
    </row>
    <row r="170" spans="2:28" hidden="1" x14ac:dyDescent="0.25">
      <c r="B170" s="41"/>
      <c r="C170" s="68" t="s">
        <v>205</v>
      </c>
      <c r="D170" s="28" t="s">
        <v>37</v>
      </c>
      <c r="E170" s="3"/>
      <c r="F170" s="69"/>
      <c r="G170" s="3"/>
      <c r="H170" s="3"/>
      <c r="I170" s="69">
        <v>3.53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3">
        <f t="shared" si="4"/>
        <v>3.53</v>
      </c>
      <c r="AA170" s="38"/>
      <c r="AB170" s="22">
        <f t="shared" si="5"/>
        <v>1.3122642431785493E-4</v>
      </c>
    </row>
    <row r="171" spans="2:28" hidden="1" x14ac:dyDescent="0.25">
      <c r="B171" s="41"/>
      <c r="C171" s="68" t="s">
        <v>206</v>
      </c>
      <c r="D171" s="28" t="s">
        <v>37</v>
      </c>
      <c r="E171" s="3"/>
      <c r="F171" s="69"/>
      <c r="G171" s="3"/>
      <c r="H171" s="3"/>
      <c r="I171" s="69">
        <v>3.31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3">
        <f t="shared" si="4"/>
        <v>3.31</v>
      </c>
      <c r="AA171" s="38"/>
      <c r="AB171" s="22">
        <f t="shared" si="5"/>
        <v>1.230480069382719E-4</v>
      </c>
    </row>
    <row r="172" spans="2:28" hidden="1" x14ac:dyDescent="0.25">
      <c r="B172" s="41"/>
      <c r="C172" s="68" t="s">
        <v>207</v>
      </c>
      <c r="D172" s="28" t="s">
        <v>37</v>
      </c>
      <c r="E172" s="3"/>
      <c r="F172" s="69"/>
      <c r="G172" s="3"/>
      <c r="H172" s="3"/>
      <c r="I172" s="69">
        <v>1.82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3">
        <f t="shared" si="4"/>
        <v>1.82</v>
      </c>
      <c r="AA172" s="38"/>
      <c r="AB172" s="22">
        <f t="shared" si="5"/>
        <v>6.7657816503823232E-5</v>
      </c>
    </row>
    <row r="173" spans="2:28" hidden="1" x14ac:dyDescent="0.25">
      <c r="B173" s="41"/>
      <c r="C173" s="68" t="s">
        <v>208</v>
      </c>
      <c r="D173" s="28" t="s">
        <v>742</v>
      </c>
      <c r="E173" s="3"/>
      <c r="F173" s="69"/>
      <c r="G173" s="3"/>
      <c r="H173" s="3"/>
      <c r="I173" s="69">
        <v>15.11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3">
        <f t="shared" si="4"/>
        <v>15.11</v>
      </c>
      <c r="AA173" s="38"/>
      <c r="AB173" s="22">
        <f t="shared" si="5"/>
        <v>5.6170857547954331E-4</v>
      </c>
    </row>
    <row r="174" spans="2:28" hidden="1" x14ac:dyDescent="0.25">
      <c r="B174" s="41"/>
      <c r="C174" s="68" t="s">
        <v>209</v>
      </c>
      <c r="D174" s="28" t="s">
        <v>742</v>
      </c>
      <c r="E174" s="3"/>
      <c r="F174" s="69"/>
      <c r="G174" s="3"/>
      <c r="H174" s="3"/>
      <c r="I174" s="69">
        <v>15.29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3">
        <f t="shared" si="4"/>
        <v>15.29</v>
      </c>
      <c r="AA174" s="38"/>
      <c r="AB174" s="22">
        <f t="shared" si="5"/>
        <v>5.6840000788102032E-4</v>
      </c>
    </row>
    <row r="175" spans="2:28" hidden="1" x14ac:dyDescent="0.25">
      <c r="B175" s="41"/>
      <c r="C175" s="68" t="s">
        <v>210</v>
      </c>
      <c r="D175" s="28" t="s">
        <v>742</v>
      </c>
      <c r="E175" s="3"/>
      <c r="F175" s="69"/>
      <c r="G175" s="3"/>
      <c r="H175" s="3"/>
      <c r="I175" s="69">
        <v>15.32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3">
        <f t="shared" si="4"/>
        <v>15.32</v>
      </c>
      <c r="AA175" s="38"/>
      <c r="AB175" s="22">
        <f t="shared" si="5"/>
        <v>5.6951524661459987E-4</v>
      </c>
    </row>
    <row r="176" spans="2:28" hidden="1" x14ac:dyDescent="0.25">
      <c r="B176" s="41"/>
      <c r="C176" s="68" t="s">
        <v>211</v>
      </c>
      <c r="D176" s="28" t="s">
        <v>742</v>
      </c>
      <c r="E176" s="3"/>
      <c r="F176" s="69"/>
      <c r="G176" s="69"/>
      <c r="H176" s="3"/>
      <c r="I176" s="69">
        <v>15.32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3">
        <f t="shared" si="4"/>
        <v>15.32</v>
      </c>
      <c r="AA176" s="38"/>
      <c r="AB176" s="22">
        <f t="shared" si="5"/>
        <v>5.6951524661459987E-4</v>
      </c>
    </row>
    <row r="177" spans="2:28" hidden="1" x14ac:dyDescent="0.25">
      <c r="B177" s="41"/>
      <c r="C177" s="68" t="s">
        <v>212</v>
      </c>
      <c r="D177" s="28" t="s">
        <v>742</v>
      </c>
      <c r="E177" s="3"/>
      <c r="F177" s="69"/>
      <c r="G177" s="69"/>
      <c r="H177" s="3"/>
      <c r="I177" s="69">
        <v>15.29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3">
        <f t="shared" si="4"/>
        <v>15.29</v>
      </c>
      <c r="AA177" s="38"/>
      <c r="AB177" s="22">
        <f t="shared" si="5"/>
        <v>5.6840000788102032E-4</v>
      </c>
    </row>
    <row r="178" spans="2:28" hidden="1" x14ac:dyDescent="0.25">
      <c r="B178" s="41"/>
      <c r="C178" s="68" t="s">
        <v>213</v>
      </c>
      <c r="D178" s="28" t="s">
        <v>742</v>
      </c>
      <c r="E178" s="3"/>
      <c r="F178" s="69"/>
      <c r="G178" s="69"/>
      <c r="H178" s="3"/>
      <c r="I178" s="69">
        <v>15.93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3">
        <f t="shared" si="4"/>
        <v>15.93</v>
      </c>
      <c r="AA178" s="38"/>
      <c r="AB178" s="22">
        <f t="shared" si="5"/>
        <v>5.9219176753071644E-4</v>
      </c>
    </row>
    <row r="179" spans="2:28" hidden="1" x14ac:dyDescent="0.25">
      <c r="B179" s="41"/>
      <c r="C179" s="68" t="s">
        <v>214</v>
      </c>
      <c r="D179" s="28" t="s">
        <v>742</v>
      </c>
      <c r="E179" s="3"/>
      <c r="F179" s="69"/>
      <c r="G179" s="69"/>
      <c r="H179" s="3"/>
      <c r="I179" s="3"/>
      <c r="J179" s="69">
        <v>31.53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3">
        <f t="shared" si="4"/>
        <v>31.53</v>
      </c>
      <c r="AA179" s="38"/>
      <c r="AB179" s="22">
        <f t="shared" si="5"/>
        <v>1.1721159089920585E-3</v>
      </c>
    </row>
    <row r="180" spans="2:28" hidden="1" x14ac:dyDescent="0.25">
      <c r="B180" s="41"/>
      <c r="C180" s="68" t="s">
        <v>215</v>
      </c>
      <c r="D180" s="28" t="s">
        <v>742</v>
      </c>
      <c r="E180" s="3"/>
      <c r="F180" s="69"/>
      <c r="G180" s="69"/>
      <c r="H180" s="3"/>
      <c r="I180" s="3"/>
      <c r="J180" s="69">
        <v>30.5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3">
        <f t="shared" si="4"/>
        <v>30.5</v>
      </c>
      <c r="AA180" s="38"/>
      <c r="AB180" s="22">
        <f t="shared" si="5"/>
        <v>1.1338260458058289E-3</v>
      </c>
    </row>
    <row r="181" spans="2:28" hidden="1" x14ac:dyDescent="0.25">
      <c r="B181" s="41"/>
      <c r="C181" s="68" t="s">
        <v>216</v>
      </c>
      <c r="D181" s="28" t="s">
        <v>742</v>
      </c>
      <c r="E181" s="3"/>
      <c r="F181" s="69"/>
      <c r="G181" s="69"/>
      <c r="H181" s="3"/>
      <c r="I181" s="3"/>
      <c r="J181" s="69">
        <v>30.31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3">
        <f t="shared" si="4"/>
        <v>30.31</v>
      </c>
      <c r="AA181" s="38"/>
      <c r="AB181" s="22">
        <f t="shared" si="5"/>
        <v>1.1267628671598252E-3</v>
      </c>
    </row>
    <row r="182" spans="2:28" hidden="1" x14ac:dyDescent="0.25">
      <c r="B182" s="41"/>
      <c r="C182" s="68" t="s">
        <v>217</v>
      </c>
      <c r="D182" s="28" t="s">
        <v>37</v>
      </c>
      <c r="E182" s="3"/>
      <c r="F182" s="69"/>
      <c r="G182" s="69"/>
      <c r="H182" s="3"/>
      <c r="I182" s="3"/>
      <c r="J182" s="69">
        <v>3.06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3">
        <f t="shared" si="4"/>
        <v>3.06</v>
      </c>
      <c r="AA182" s="38"/>
      <c r="AB182" s="22">
        <f t="shared" si="5"/>
        <v>1.1375435082510938E-4</v>
      </c>
    </row>
    <row r="183" spans="2:28" hidden="1" x14ac:dyDescent="0.25">
      <c r="B183" s="41"/>
      <c r="C183" s="68" t="s">
        <v>218</v>
      </c>
      <c r="D183" s="28" t="s">
        <v>37</v>
      </c>
      <c r="E183" s="3"/>
      <c r="F183" s="69"/>
      <c r="G183" s="69"/>
      <c r="H183" s="3"/>
      <c r="I183" s="3"/>
      <c r="J183" s="69">
        <v>4.25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3">
        <f t="shared" si="4"/>
        <v>4.25</v>
      </c>
      <c r="AA183" s="38"/>
      <c r="AB183" s="22">
        <f t="shared" si="5"/>
        <v>1.5799215392376303E-4</v>
      </c>
    </row>
    <row r="184" spans="2:28" hidden="1" x14ac:dyDescent="0.25">
      <c r="B184" s="41"/>
      <c r="C184" s="68" t="s">
        <v>219</v>
      </c>
      <c r="D184" s="28" t="s">
        <v>37</v>
      </c>
      <c r="E184" s="3"/>
      <c r="F184" s="69"/>
      <c r="G184" s="69"/>
      <c r="H184" s="3"/>
      <c r="I184" s="3"/>
      <c r="J184" s="69">
        <v>2.9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3">
        <f t="shared" si="4"/>
        <v>2.9</v>
      </c>
      <c r="AA184" s="38"/>
      <c r="AB184" s="22">
        <f t="shared" si="5"/>
        <v>1.0780641091268535E-4</v>
      </c>
    </row>
    <row r="185" spans="2:28" hidden="1" x14ac:dyDescent="0.25">
      <c r="B185" s="41"/>
      <c r="C185" s="68" t="s">
        <v>220</v>
      </c>
      <c r="D185" s="28" t="s">
        <v>37</v>
      </c>
      <c r="E185" s="3"/>
      <c r="F185" s="69"/>
      <c r="G185" s="69"/>
      <c r="H185" s="3"/>
      <c r="I185" s="3"/>
      <c r="J185" s="69">
        <v>5.14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3">
        <f t="shared" si="4"/>
        <v>5.14</v>
      </c>
      <c r="AA185" s="38"/>
      <c r="AB185" s="22">
        <f t="shared" si="5"/>
        <v>1.9107756968662163E-4</v>
      </c>
    </row>
    <row r="186" spans="2:28" hidden="1" x14ac:dyDescent="0.25">
      <c r="B186" s="41"/>
      <c r="C186" s="68" t="s">
        <v>221</v>
      </c>
      <c r="D186" s="28" t="s">
        <v>37</v>
      </c>
      <c r="E186" s="3"/>
      <c r="F186" s="69"/>
      <c r="G186" s="69"/>
      <c r="H186" s="3"/>
      <c r="I186" s="3"/>
      <c r="J186" s="69">
        <v>4.96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3">
        <f t="shared" si="4"/>
        <v>4.96</v>
      </c>
      <c r="AA186" s="38"/>
      <c r="AB186" s="22">
        <f t="shared" si="5"/>
        <v>1.843861372851446E-4</v>
      </c>
    </row>
    <row r="187" spans="2:28" hidden="1" x14ac:dyDescent="0.25">
      <c r="B187" s="41"/>
      <c r="C187" s="68" t="s">
        <v>222</v>
      </c>
      <c r="D187" s="28" t="s">
        <v>37</v>
      </c>
      <c r="E187" s="3"/>
      <c r="F187" s="69"/>
      <c r="G187" s="69"/>
      <c r="H187" s="3"/>
      <c r="I187" s="3"/>
      <c r="J187" s="69">
        <v>3.82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3">
        <f t="shared" si="4"/>
        <v>3.82</v>
      </c>
      <c r="AA187" s="38"/>
      <c r="AB187" s="22">
        <f t="shared" si="5"/>
        <v>1.4200706540912347E-4</v>
      </c>
    </row>
    <row r="188" spans="2:28" hidden="1" x14ac:dyDescent="0.25">
      <c r="B188" s="41"/>
      <c r="C188" s="68" t="s">
        <v>223</v>
      </c>
      <c r="D188" s="28" t="s">
        <v>37</v>
      </c>
      <c r="E188" s="3"/>
      <c r="F188" s="69"/>
      <c r="G188" s="69"/>
      <c r="H188" s="3"/>
      <c r="I188" s="3"/>
      <c r="J188" s="69">
        <v>5.85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3">
        <f t="shared" si="4"/>
        <v>5.85</v>
      </c>
      <c r="AA188" s="38"/>
      <c r="AB188" s="22">
        <f t="shared" si="5"/>
        <v>2.1747155304800321E-4</v>
      </c>
    </row>
    <row r="189" spans="2:28" hidden="1" x14ac:dyDescent="0.25">
      <c r="B189" s="41"/>
      <c r="C189" s="68" t="s">
        <v>224</v>
      </c>
      <c r="D189" s="28" t="s">
        <v>37</v>
      </c>
      <c r="E189" s="3"/>
      <c r="F189" s="69"/>
      <c r="G189" s="69"/>
      <c r="H189" s="3"/>
      <c r="I189" s="3"/>
      <c r="J189" s="69">
        <v>4.7699999999999996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3">
        <f t="shared" ref="Z189:Z246" si="6">SUM(E189:Y189)</f>
        <v>4.7699999999999996</v>
      </c>
      <c r="AA189" s="38"/>
      <c r="AB189" s="22">
        <f t="shared" si="5"/>
        <v>1.7732295863914107E-4</v>
      </c>
    </row>
    <row r="190" spans="2:28" hidden="1" x14ac:dyDescent="0.25">
      <c r="B190" s="41"/>
      <c r="C190" s="68" t="s">
        <v>225</v>
      </c>
      <c r="D190" s="28" t="s">
        <v>743</v>
      </c>
      <c r="E190" s="3"/>
      <c r="F190" s="69"/>
      <c r="G190" s="69"/>
      <c r="H190" s="3"/>
      <c r="I190" s="3"/>
      <c r="J190" s="69">
        <v>18.54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3">
        <f t="shared" si="6"/>
        <v>18.54</v>
      </c>
      <c r="AA190" s="38"/>
      <c r="AB190" s="22">
        <f t="shared" si="5"/>
        <v>6.8921753735213327E-4</v>
      </c>
    </row>
    <row r="191" spans="2:28" hidden="1" x14ac:dyDescent="0.25">
      <c r="B191" s="41"/>
      <c r="C191" s="68" t="s">
        <v>226</v>
      </c>
      <c r="D191" s="28" t="s">
        <v>743</v>
      </c>
      <c r="E191" s="3"/>
      <c r="F191" s="69"/>
      <c r="G191" s="69"/>
      <c r="H191" s="3"/>
      <c r="I191" s="3"/>
      <c r="J191" s="69">
        <v>18.309999999999999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3">
        <f t="shared" si="6"/>
        <v>18.309999999999999</v>
      </c>
      <c r="AA191" s="38"/>
      <c r="AB191" s="22">
        <f t="shared" si="5"/>
        <v>6.8066737372802371E-4</v>
      </c>
    </row>
    <row r="192" spans="2:28" hidden="1" x14ac:dyDescent="0.25">
      <c r="B192" s="41"/>
      <c r="C192" s="68" t="s">
        <v>227</v>
      </c>
      <c r="D192" s="28" t="s">
        <v>743</v>
      </c>
      <c r="E192" s="3"/>
      <c r="F192" s="69"/>
      <c r="G192" s="69"/>
      <c r="H192" s="3"/>
      <c r="I192" s="3"/>
      <c r="J192" s="69">
        <v>18.309999999999999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3">
        <f t="shared" si="6"/>
        <v>18.309999999999999</v>
      </c>
      <c r="AA192" s="38"/>
      <c r="AB192" s="22">
        <f t="shared" si="5"/>
        <v>6.8066737372802371E-4</v>
      </c>
    </row>
    <row r="193" spans="2:28" hidden="1" x14ac:dyDescent="0.25">
      <c r="B193" s="41"/>
      <c r="C193" s="88" t="s">
        <v>228</v>
      </c>
      <c r="D193" s="89" t="s">
        <v>742</v>
      </c>
      <c r="E193" s="90"/>
      <c r="F193" s="90"/>
      <c r="G193" s="90"/>
      <c r="H193" s="90"/>
      <c r="I193" s="90"/>
      <c r="J193" s="90">
        <v>18.46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3">
        <f t="shared" si="6"/>
        <v>18.46</v>
      </c>
      <c r="AA193" s="38"/>
      <c r="AB193" s="22">
        <f t="shared" si="5"/>
        <v>6.8624356739592127E-4</v>
      </c>
    </row>
    <row r="194" spans="2:28" hidden="1" x14ac:dyDescent="0.25">
      <c r="B194" s="41"/>
      <c r="C194" s="68" t="s">
        <v>229</v>
      </c>
      <c r="D194" s="28" t="s">
        <v>743</v>
      </c>
      <c r="E194" s="3"/>
      <c r="F194" s="69"/>
      <c r="G194" s="69"/>
      <c r="H194" s="3"/>
      <c r="I194" s="3"/>
      <c r="J194" s="69">
        <v>19.55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3">
        <f t="shared" si="6"/>
        <v>19.55</v>
      </c>
      <c r="AA194" s="38"/>
      <c r="AB194" s="22">
        <f t="shared" si="5"/>
        <v>7.2676390804930996E-4</v>
      </c>
    </row>
    <row r="195" spans="2:28" hidden="1" x14ac:dyDescent="0.25">
      <c r="B195" s="41"/>
      <c r="C195" s="68" t="s">
        <v>230</v>
      </c>
      <c r="D195" s="28" t="s">
        <v>743</v>
      </c>
      <c r="E195" s="3"/>
      <c r="F195" s="69"/>
      <c r="G195" s="69"/>
      <c r="H195" s="3"/>
      <c r="I195" s="3"/>
      <c r="J195" s="69">
        <v>22.79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3">
        <f t="shared" si="6"/>
        <v>22.79</v>
      </c>
      <c r="AA195" s="38"/>
      <c r="AB195" s="22">
        <f t="shared" si="5"/>
        <v>8.4720969127589625E-4</v>
      </c>
    </row>
    <row r="196" spans="2:28" hidden="1" x14ac:dyDescent="0.25">
      <c r="B196" s="41"/>
      <c r="C196" s="68" t="s">
        <v>231</v>
      </c>
      <c r="D196" s="28" t="s">
        <v>743</v>
      </c>
      <c r="E196" s="3"/>
      <c r="F196" s="69"/>
      <c r="G196" s="69"/>
      <c r="H196" s="3"/>
      <c r="I196" s="3"/>
      <c r="J196" s="69">
        <v>20.02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3">
        <f t="shared" si="6"/>
        <v>20.02</v>
      </c>
      <c r="AA196" s="38"/>
      <c r="AB196" s="22">
        <f t="shared" si="5"/>
        <v>7.4423598154205542E-4</v>
      </c>
    </row>
    <row r="197" spans="2:28" hidden="1" x14ac:dyDescent="0.25">
      <c r="B197" s="41"/>
      <c r="C197" s="68" t="s">
        <v>232</v>
      </c>
      <c r="D197" s="28" t="s">
        <v>37</v>
      </c>
      <c r="E197" s="3"/>
      <c r="F197" s="69"/>
      <c r="G197" s="69"/>
      <c r="H197" s="3"/>
      <c r="I197" s="3"/>
      <c r="J197" s="69">
        <v>9.65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3">
        <f t="shared" si="6"/>
        <v>9.65</v>
      </c>
      <c r="AA197" s="38"/>
      <c r="AB197" s="22">
        <f t="shared" si="5"/>
        <v>3.587351259680737E-4</v>
      </c>
    </row>
    <row r="198" spans="2:28" hidden="1" x14ac:dyDescent="0.25">
      <c r="B198" s="41"/>
      <c r="C198" s="68" t="s">
        <v>233</v>
      </c>
      <c r="D198" s="28" t="s">
        <v>743</v>
      </c>
      <c r="E198" s="3"/>
      <c r="F198" s="69"/>
      <c r="G198" s="69"/>
      <c r="H198" s="3"/>
      <c r="I198" s="3"/>
      <c r="J198" s="69">
        <v>24.55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3">
        <f t="shared" si="6"/>
        <v>24.55</v>
      </c>
      <c r="AA198" s="38"/>
      <c r="AB198" s="22">
        <f t="shared" ref="AB198:AB261" si="7">+Z198/$AA$877</f>
        <v>9.1263703031256051E-4</v>
      </c>
    </row>
    <row r="199" spans="2:28" hidden="1" x14ac:dyDescent="0.25">
      <c r="B199" s="41"/>
      <c r="C199" s="68" t="s">
        <v>234</v>
      </c>
      <c r="D199" s="28" t="s">
        <v>743</v>
      </c>
      <c r="E199" s="3"/>
      <c r="F199" s="69"/>
      <c r="G199" s="69"/>
      <c r="H199" s="3"/>
      <c r="I199" s="3"/>
      <c r="J199" s="69">
        <v>18.46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3">
        <f t="shared" si="6"/>
        <v>18.46</v>
      </c>
      <c r="AA199" s="38"/>
      <c r="AB199" s="22">
        <f t="shared" si="7"/>
        <v>6.8624356739592127E-4</v>
      </c>
    </row>
    <row r="200" spans="2:28" hidden="1" x14ac:dyDescent="0.25">
      <c r="B200" s="41"/>
      <c r="C200" s="68" t="s">
        <v>235</v>
      </c>
      <c r="D200" s="28" t="s">
        <v>743</v>
      </c>
      <c r="E200" s="3"/>
      <c r="F200" s="69"/>
      <c r="G200" s="69"/>
      <c r="H200" s="3"/>
      <c r="I200" s="3"/>
      <c r="J200" s="69">
        <v>18.34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3">
        <f t="shared" si="6"/>
        <v>18.34</v>
      </c>
      <c r="AA200" s="38"/>
      <c r="AB200" s="22">
        <f t="shared" si="7"/>
        <v>6.8178261246160327E-4</v>
      </c>
    </row>
    <row r="201" spans="2:28" hidden="1" x14ac:dyDescent="0.25">
      <c r="B201" s="41"/>
      <c r="C201" s="68" t="s">
        <v>236</v>
      </c>
      <c r="D201" s="28" t="s">
        <v>743</v>
      </c>
      <c r="E201" s="3"/>
      <c r="F201" s="69"/>
      <c r="G201" s="69"/>
      <c r="H201" s="3"/>
      <c r="I201" s="3"/>
      <c r="J201" s="69">
        <v>18.34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3">
        <f t="shared" si="6"/>
        <v>18.34</v>
      </c>
      <c r="AA201" s="38"/>
      <c r="AB201" s="22">
        <f t="shared" si="7"/>
        <v>6.8178261246160327E-4</v>
      </c>
    </row>
    <row r="202" spans="2:28" hidden="1" x14ac:dyDescent="0.25">
      <c r="B202" s="41"/>
      <c r="C202" s="68" t="s">
        <v>237</v>
      </c>
      <c r="D202" s="28" t="s">
        <v>743</v>
      </c>
      <c r="E202" s="3"/>
      <c r="F202" s="69"/>
      <c r="G202" s="69"/>
      <c r="H202" s="3"/>
      <c r="I202" s="3"/>
      <c r="J202" s="69">
        <v>18.46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3">
        <f t="shared" si="6"/>
        <v>18.46</v>
      </c>
      <c r="AA202" s="38"/>
      <c r="AB202" s="22">
        <f t="shared" si="7"/>
        <v>6.8624356739592127E-4</v>
      </c>
    </row>
    <row r="203" spans="2:28" hidden="1" x14ac:dyDescent="0.25">
      <c r="B203" s="41"/>
      <c r="C203" s="68" t="s">
        <v>238</v>
      </c>
      <c r="D203" s="28" t="s">
        <v>743</v>
      </c>
      <c r="E203" s="3"/>
      <c r="F203" s="69"/>
      <c r="G203" s="69"/>
      <c r="H203" s="3"/>
      <c r="I203" s="3"/>
      <c r="J203" s="69">
        <v>18.34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3">
        <f t="shared" si="6"/>
        <v>18.34</v>
      </c>
      <c r="AA203" s="38"/>
      <c r="AB203" s="22">
        <f t="shared" si="7"/>
        <v>6.8178261246160327E-4</v>
      </c>
    </row>
    <row r="204" spans="2:28" hidden="1" x14ac:dyDescent="0.25">
      <c r="B204" s="41"/>
      <c r="C204" s="68" t="s">
        <v>239</v>
      </c>
      <c r="D204" s="28" t="s">
        <v>743</v>
      </c>
      <c r="E204" s="3"/>
      <c r="F204" s="69"/>
      <c r="G204" s="69"/>
      <c r="H204" s="3"/>
      <c r="I204" s="3"/>
      <c r="J204" s="69">
        <v>18.34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3">
        <f t="shared" si="6"/>
        <v>18.34</v>
      </c>
      <c r="AA204" s="38"/>
      <c r="AB204" s="22">
        <f t="shared" si="7"/>
        <v>6.8178261246160327E-4</v>
      </c>
    </row>
    <row r="205" spans="2:28" hidden="1" x14ac:dyDescent="0.25">
      <c r="B205" s="41"/>
      <c r="C205" s="68" t="s">
        <v>240</v>
      </c>
      <c r="D205" s="28" t="s">
        <v>743</v>
      </c>
      <c r="E205" s="3"/>
      <c r="F205" s="69"/>
      <c r="G205" s="69"/>
      <c r="H205" s="3"/>
      <c r="I205" s="3"/>
      <c r="J205" s="69">
        <v>18.46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3">
        <f t="shared" si="6"/>
        <v>18.46</v>
      </c>
      <c r="AA205" s="38"/>
      <c r="AB205" s="22">
        <f t="shared" si="7"/>
        <v>6.8624356739592127E-4</v>
      </c>
    </row>
    <row r="206" spans="2:28" hidden="1" x14ac:dyDescent="0.25">
      <c r="B206" s="41"/>
      <c r="C206" s="68" t="s">
        <v>241</v>
      </c>
      <c r="D206" s="28" t="s">
        <v>743</v>
      </c>
      <c r="E206" s="3"/>
      <c r="F206" s="69"/>
      <c r="G206" s="69"/>
      <c r="H206" s="3"/>
      <c r="I206" s="3"/>
      <c r="J206" s="69">
        <v>18.46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3">
        <f t="shared" si="6"/>
        <v>18.46</v>
      </c>
      <c r="AA206" s="38"/>
      <c r="AB206" s="22">
        <f t="shared" si="7"/>
        <v>6.8624356739592127E-4</v>
      </c>
    </row>
    <row r="207" spans="2:28" hidden="1" x14ac:dyDescent="0.25">
      <c r="B207" s="41"/>
      <c r="C207" s="68" t="s">
        <v>242</v>
      </c>
      <c r="D207" s="28" t="s">
        <v>37</v>
      </c>
      <c r="E207" s="3"/>
      <c r="F207" s="69"/>
      <c r="G207" s="69"/>
      <c r="H207" s="3"/>
      <c r="I207" s="3"/>
      <c r="J207" s="69">
        <v>5.12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3">
        <f t="shared" si="6"/>
        <v>5.12</v>
      </c>
      <c r="AA207" s="38"/>
      <c r="AB207" s="22">
        <f t="shared" si="7"/>
        <v>1.9033407719756863E-4</v>
      </c>
    </row>
    <row r="208" spans="2:28" hidden="1" x14ac:dyDescent="0.25">
      <c r="B208" s="41"/>
      <c r="C208" s="68" t="s">
        <v>243</v>
      </c>
      <c r="D208" s="28" t="s">
        <v>37</v>
      </c>
      <c r="E208" s="3"/>
      <c r="F208" s="69"/>
      <c r="G208" s="69"/>
      <c r="H208" s="3"/>
      <c r="I208" s="3"/>
      <c r="J208" s="69">
        <v>4.53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3">
        <f t="shared" si="6"/>
        <v>4.53</v>
      </c>
      <c r="AA208" s="38"/>
      <c r="AB208" s="22">
        <f t="shared" si="7"/>
        <v>1.6840104877050507E-4</v>
      </c>
    </row>
    <row r="209" spans="2:28" hidden="1" x14ac:dyDescent="0.25">
      <c r="B209" s="41"/>
      <c r="C209" s="68" t="s">
        <v>244</v>
      </c>
      <c r="D209" s="28" t="s">
        <v>743</v>
      </c>
      <c r="E209" s="3"/>
      <c r="F209" s="69"/>
      <c r="G209" s="69"/>
      <c r="H209" s="3"/>
      <c r="I209" s="3"/>
      <c r="J209" s="69">
        <v>19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3">
        <f t="shared" si="6"/>
        <v>19</v>
      </c>
      <c r="AA209" s="38"/>
      <c r="AB209" s="22">
        <f t="shared" si="7"/>
        <v>7.0631786460035239E-4</v>
      </c>
    </row>
    <row r="210" spans="2:28" hidden="1" x14ac:dyDescent="0.25">
      <c r="B210" s="41"/>
      <c r="C210" s="68" t="s">
        <v>245</v>
      </c>
      <c r="D210" s="28" t="s">
        <v>742</v>
      </c>
      <c r="E210" s="3"/>
      <c r="F210" s="69"/>
      <c r="G210" s="69"/>
      <c r="H210" s="3"/>
      <c r="I210" s="3"/>
      <c r="J210" s="69">
        <v>15.29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3">
        <f t="shared" si="6"/>
        <v>15.29</v>
      </c>
      <c r="AA210" s="38"/>
      <c r="AB210" s="22">
        <f t="shared" si="7"/>
        <v>5.6840000788102032E-4</v>
      </c>
    </row>
    <row r="211" spans="2:28" hidden="1" x14ac:dyDescent="0.25">
      <c r="B211" s="41"/>
      <c r="C211" s="68" t="s">
        <v>246</v>
      </c>
      <c r="D211" s="28" t="s">
        <v>742</v>
      </c>
      <c r="E211" s="3"/>
      <c r="F211" s="69"/>
      <c r="G211" s="69"/>
      <c r="H211" s="3"/>
      <c r="I211" s="3"/>
      <c r="J211" s="69">
        <v>15.32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3">
        <f t="shared" si="6"/>
        <v>15.32</v>
      </c>
      <c r="AA211" s="38"/>
      <c r="AB211" s="22">
        <f t="shared" si="7"/>
        <v>5.6951524661459987E-4</v>
      </c>
    </row>
    <row r="212" spans="2:28" hidden="1" x14ac:dyDescent="0.25">
      <c r="B212" s="41"/>
      <c r="C212" s="68" t="s">
        <v>247</v>
      </c>
      <c r="D212" s="28" t="s">
        <v>742</v>
      </c>
      <c r="E212" s="3"/>
      <c r="F212" s="69"/>
      <c r="G212" s="69"/>
      <c r="H212" s="3"/>
      <c r="I212" s="3"/>
      <c r="J212" s="69">
        <v>15.32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3">
        <f t="shared" si="6"/>
        <v>15.32</v>
      </c>
      <c r="AA212" s="38"/>
      <c r="AB212" s="22">
        <f t="shared" si="7"/>
        <v>5.6951524661459987E-4</v>
      </c>
    </row>
    <row r="213" spans="2:28" hidden="1" x14ac:dyDescent="0.25">
      <c r="B213" s="41"/>
      <c r="C213" s="68" t="s">
        <v>248</v>
      </c>
      <c r="D213" s="28" t="s">
        <v>742</v>
      </c>
      <c r="E213" s="3"/>
      <c r="F213" s="69"/>
      <c r="G213" s="69"/>
      <c r="H213" s="3"/>
      <c r="I213" s="3"/>
      <c r="J213" s="69">
        <v>15.29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3">
        <f t="shared" si="6"/>
        <v>15.29</v>
      </c>
      <c r="AA213" s="38"/>
      <c r="AB213" s="22">
        <f t="shared" si="7"/>
        <v>5.6840000788102032E-4</v>
      </c>
    </row>
    <row r="214" spans="2:28" hidden="1" x14ac:dyDescent="0.25">
      <c r="B214" s="41"/>
      <c r="C214" s="68" t="s">
        <v>249</v>
      </c>
      <c r="D214" s="28" t="s">
        <v>742</v>
      </c>
      <c r="E214" s="3"/>
      <c r="F214" s="69"/>
      <c r="G214" s="69"/>
      <c r="H214" s="3"/>
      <c r="I214" s="3"/>
      <c r="J214" s="69">
        <v>15.93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3">
        <f t="shared" si="6"/>
        <v>15.93</v>
      </c>
      <c r="AA214" s="38"/>
      <c r="AB214" s="22">
        <f t="shared" si="7"/>
        <v>5.9219176753071644E-4</v>
      </c>
    </row>
    <row r="215" spans="2:28" hidden="1" x14ac:dyDescent="0.25">
      <c r="B215" s="41"/>
      <c r="C215" s="88" t="s">
        <v>250</v>
      </c>
      <c r="D215" s="89" t="s">
        <v>742</v>
      </c>
      <c r="E215" s="90"/>
      <c r="F215" s="90"/>
      <c r="G215" s="90"/>
      <c r="H215" s="90"/>
      <c r="I215" s="90"/>
      <c r="J215" s="90"/>
      <c r="K215" s="90">
        <v>31.53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3">
        <f t="shared" si="6"/>
        <v>31.53</v>
      </c>
      <c r="AA215" s="38"/>
      <c r="AB215" s="22">
        <f t="shared" si="7"/>
        <v>1.1721159089920585E-3</v>
      </c>
    </row>
    <row r="216" spans="2:28" hidden="1" x14ac:dyDescent="0.25">
      <c r="B216" s="41"/>
      <c r="C216" s="68" t="s">
        <v>251</v>
      </c>
      <c r="D216" s="28" t="s">
        <v>742</v>
      </c>
      <c r="E216" s="3"/>
      <c r="F216" s="69"/>
      <c r="G216" s="69"/>
      <c r="H216" s="3"/>
      <c r="I216" s="3"/>
      <c r="J216" s="3"/>
      <c r="K216" s="69">
        <v>30.5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3">
        <f t="shared" si="6"/>
        <v>30.5</v>
      </c>
      <c r="AA216" s="38"/>
      <c r="AB216" s="22">
        <f t="shared" si="7"/>
        <v>1.1338260458058289E-3</v>
      </c>
    </row>
    <row r="217" spans="2:28" hidden="1" x14ac:dyDescent="0.25">
      <c r="B217" s="41"/>
      <c r="C217" s="68" t="s">
        <v>252</v>
      </c>
      <c r="D217" s="28" t="s">
        <v>742</v>
      </c>
      <c r="E217" s="3"/>
      <c r="F217" s="69"/>
      <c r="G217" s="69"/>
      <c r="H217" s="3"/>
      <c r="I217" s="3"/>
      <c r="J217" s="3"/>
      <c r="K217" s="69">
        <v>30.64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3">
        <f t="shared" si="6"/>
        <v>30.64</v>
      </c>
      <c r="AA217" s="38"/>
      <c r="AB217" s="22">
        <f t="shared" si="7"/>
        <v>1.1390304932291997E-3</v>
      </c>
    </row>
    <row r="218" spans="2:28" hidden="1" x14ac:dyDescent="0.25">
      <c r="B218" s="41"/>
      <c r="C218" s="68" t="s">
        <v>253</v>
      </c>
      <c r="D218" s="28" t="s">
        <v>743</v>
      </c>
      <c r="E218" s="3"/>
      <c r="F218" s="69"/>
      <c r="G218" s="69"/>
      <c r="H218" s="3"/>
      <c r="I218" s="3"/>
      <c r="J218" s="3"/>
      <c r="K218" s="3">
        <v>26.41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3">
        <f t="shared" si="6"/>
        <v>26.41</v>
      </c>
      <c r="AA218" s="38"/>
      <c r="AB218" s="22">
        <f t="shared" si="7"/>
        <v>9.8178183179448977E-4</v>
      </c>
    </row>
    <row r="219" spans="2:28" hidden="1" x14ac:dyDescent="0.25">
      <c r="B219" s="41"/>
      <c r="C219" s="68" t="s">
        <v>254</v>
      </c>
      <c r="D219" s="28" t="s">
        <v>743</v>
      </c>
      <c r="E219" s="3"/>
      <c r="F219" s="69"/>
      <c r="G219" s="69"/>
      <c r="H219" s="3"/>
      <c r="I219" s="3"/>
      <c r="J219" s="3"/>
      <c r="K219" s="69">
        <v>35.020000000000003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3">
        <f t="shared" si="6"/>
        <v>35.020000000000003</v>
      </c>
      <c r="AA219" s="38"/>
      <c r="AB219" s="22">
        <f t="shared" si="7"/>
        <v>1.3018553483318074E-3</v>
      </c>
    </row>
    <row r="220" spans="2:28" hidden="1" x14ac:dyDescent="0.25">
      <c r="B220" s="41"/>
      <c r="C220" s="68" t="s">
        <v>255</v>
      </c>
      <c r="D220" s="28" t="s">
        <v>37</v>
      </c>
      <c r="E220" s="3"/>
      <c r="F220" s="69"/>
      <c r="G220" s="69"/>
      <c r="H220" s="3"/>
      <c r="I220" s="3"/>
      <c r="J220" s="3"/>
      <c r="K220" s="69">
        <v>8.24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3">
        <f t="shared" si="6"/>
        <v>8.24</v>
      </c>
      <c r="AA220" s="38"/>
      <c r="AB220" s="22">
        <f t="shared" si="7"/>
        <v>3.06318905489837E-4</v>
      </c>
    </row>
    <row r="221" spans="2:28" hidden="1" x14ac:dyDescent="0.25">
      <c r="B221" s="41"/>
      <c r="C221" s="68" t="s">
        <v>256</v>
      </c>
      <c r="D221" s="28" t="s">
        <v>37</v>
      </c>
      <c r="E221" s="3"/>
      <c r="F221" s="69"/>
      <c r="G221" s="69"/>
      <c r="H221" s="3"/>
      <c r="I221" s="3"/>
      <c r="J221" s="3"/>
      <c r="K221" s="69">
        <v>5.14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3">
        <f t="shared" si="6"/>
        <v>5.14</v>
      </c>
      <c r="AA221" s="38"/>
      <c r="AB221" s="22">
        <f t="shared" si="7"/>
        <v>1.9107756968662163E-4</v>
      </c>
    </row>
    <row r="222" spans="2:28" hidden="1" x14ac:dyDescent="0.25">
      <c r="B222" s="41"/>
      <c r="C222" s="68" t="s">
        <v>257</v>
      </c>
      <c r="D222" s="28" t="s">
        <v>37</v>
      </c>
      <c r="E222" s="3"/>
      <c r="F222" s="69"/>
      <c r="G222" s="69"/>
      <c r="H222" s="3"/>
      <c r="I222" s="3"/>
      <c r="J222" s="3"/>
      <c r="K222" s="69">
        <v>4.96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3">
        <f t="shared" si="6"/>
        <v>4.96</v>
      </c>
      <c r="AA222" s="38"/>
      <c r="AB222" s="22">
        <f t="shared" si="7"/>
        <v>1.843861372851446E-4</v>
      </c>
    </row>
    <row r="223" spans="2:28" hidden="1" x14ac:dyDescent="0.25">
      <c r="B223" s="41"/>
      <c r="C223" s="68" t="s">
        <v>258</v>
      </c>
      <c r="D223" s="28" t="s">
        <v>37</v>
      </c>
      <c r="E223" s="3"/>
      <c r="F223" s="69"/>
      <c r="G223" s="69"/>
      <c r="H223" s="3"/>
      <c r="I223" s="3"/>
      <c r="J223" s="3"/>
      <c r="K223" s="69">
        <v>3.82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3">
        <f t="shared" si="6"/>
        <v>3.82</v>
      </c>
      <c r="AA223" s="38"/>
      <c r="AB223" s="22">
        <f t="shared" si="7"/>
        <v>1.4200706540912347E-4</v>
      </c>
    </row>
    <row r="224" spans="2:28" hidden="1" x14ac:dyDescent="0.25">
      <c r="B224" s="41"/>
      <c r="C224" s="68" t="s">
        <v>259</v>
      </c>
      <c r="D224" s="28" t="s">
        <v>37</v>
      </c>
      <c r="E224" s="3"/>
      <c r="F224" s="69"/>
      <c r="G224" s="69"/>
      <c r="H224" s="3"/>
      <c r="I224" s="3"/>
      <c r="J224" s="3"/>
      <c r="K224" s="69">
        <v>5.93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3">
        <f t="shared" si="6"/>
        <v>5.93</v>
      </c>
      <c r="AA224" s="38"/>
      <c r="AB224" s="22">
        <f t="shared" si="7"/>
        <v>2.2044552300421523E-4</v>
      </c>
    </row>
    <row r="225" spans="2:28" hidden="1" x14ac:dyDescent="0.25">
      <c r="B225" s="41"/>
      <c r="C225" s="68" t="s">
        <v>260</v>
      </c>
      <c r="D225" s="28" t="s">
        <v>37</v>
      </c>
      <c r="E225" s="3"/>
      <c r="F225" s="69"/>
      <c r="G225" s="69"/>
      <c r="H225" s="3"/>
      <c r="I225" s="3"/>
      <c r="J225" s="3"/>
      <c r="K225" s="69">
        <v>4.7699999999999996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3">
        <f t="shared" si="6"/>
        <v>4.7699999999999996</v>
      </c>
      <c r="AA225" s="38"/>
      <c r="AB225" s="22">
        <f t="shared" si="7"/>
        <v>1.7732295863914107E-4</v>
      </c>
    </row>
    <row r="226" spans="2:28" hidden="1" x14ac:dyDescent="0.25">
      <c r="B226" s="41"/>
      <c r="C226" s="68" t="s">
        <v>261</v>
      </c>
      <c r="D226" s="28" t="s">
        <v>743</v>
      </c>
      <c r="E226" s="3"/>
      <c r="F226" s="69"/>
      <c r="G226" s="69"/>
      <c r="H226" s="3"/>
      <c r="I226" s="3"/>
      <c r="J226" s="3"/>
      <c r="K226" s="69">
        <v>18.46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3">
        <f t="shared" si="6"/>
        <v>18.46</v>
      </c>
      <c r="AA226" s="38"/>
      <c r="AB226" s="22">
        <f t="shared" si="7"/>
        <v>6.8624356739592127E-4</v>
      </c>
    </row>
    <row r="227" spans="2:28" hidden="1" x14ac:dyDescent="0.25">
      <c r="B227" s="41"/>
      <c r="C227" s="68" t="s">
        <v>262</v>
      </c>
      <c r="D227" s="28" t="s">
        <v>743</v>
      </c>
      <c r="E227" s="3"/>
      <c r="F227" s="69"/>
      <c r="G227" s="69"/>
      <c r="H227" s="3"/>
      <c r="I227" s="3"/>
      <c r="J227" s="3"/>
      <c r="K227" s="69">
        <v>18.309999999999999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3">
        <f t="shared" si="6"/>
        <v>18.309999999999999</v>
      </c>
      <c r="AA227" s="38"/>
      <c r="AB227" s="22">
        <f t="shared" si="7"/>
        <v>6.8066737372802371E-4</v>
      </c>
    </row>
    <row r="228" spans="2:28" hidden="1" x14ac:dyDescent="0.25">
      <c r="B228" s="41"/>
      <c r="C228" s="68" t="s">
        <v>263</v>
      </c>
      <c r="D228" s="28" t="s">
        <v>743</v>
      </c>
      <c r="E228" s="3"/>
      <c r="F228" s="69"/>
      <c r="G228" s="69"/>
      <c r="H228" s="3"/>
      <c r="I228" s="3"/>
      <c r="J228" s="3"/>
      <c r="K228" s="69">
        <v>18.309999999999999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3">
        <f t="shared" si="6"/>
        <v>18.309999999999999</v>
      </c>
      <c r="AA228" s="38"/>
      <c r="AB228" s="22">
        <f t="shared" si="7"/>
        <v>6.8066737372802371E-4</v>
      </c>
    </row>
    <row r="229" spans="2:28" hidden="1" x14ac:dyDescent="0.25">
      <c r="B229" s="41"/>
      <c r="C229" s="88" t="s">
        <v>264</v>
      </c>
      <c r="D229" s="89" t="s">
        <v>742</v>
      </c>
      <c r="E229" s="90"/>
      <c r="F229" s="90"/>
      <c r="G229" s="90"/>
      <c r="H229" s="90"/>
      <c r="I229" s="90"/>
      <c r="J229" s="90"/>
      <c r="K229" s="90">
        <v>18.46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3">
        <f t="shared" si="6"/>
        <v>18.46</v>
      </c>
      <c r="AA229" s="38"/>
      <c r="AB229" s="22">
        <f t="shared" si="7"/>
        <v>6.8624356739592127E-4</v>
      </c>
    </row>
    <row r="230" spans="2:28" hidden="1" x14ac:dyDescent="0.25">
      <c r="B230" s="41"/>
      <c r="C230" s="68" t="s">
        <v>265</v>
      </c>
      <c r="D230" s="28" t="s">
        <v>743</v>
      </c>
      <c r="E230" s="3"/>
      <c r="F230" s="69"/>
      <c r="G230" s="69"/>
      <c r="H230" s="3"/>
      <c r="I230" s="3"/>
      <c r="J230" s="3"/>
      <c r="K230" s="69">
        <v>19.55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3">
        <f t="shared" si="6"/>
        <v>19.55</v>
      </c>
      <c r="AA230" s="38"/>
      <c r="AB230" s="22">
        <f t="shared" si="7"/>
        <v>7.2676390804930996E-4</v>
      </c>
    </row>
    <row r="231" spans="2:28" hidden="1" x14ac:dyDescent="0.25">
      <c r="B231" s="41"/>
      <c r="C231" s="68" t="s">
        <v>266</v>
      </c>
      <c r="D231" s="28" t="s">
        <v>743</v>
      </c>
      <c r="E231" s="3"/>
      <c r="F231" s="69"/>
      <c r="G231" s="69"/>
      <c r="H231" s="3"/>
      <c r="I231" s="3"/>
      <c r="J231" s="3"/>
      <c r="K231" s="69">
        <v>22.79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3">
        <f t="shared" si="6"/>
        <v>22.79</v>
      </c>
      <c r="AA231" s="38"/>
      <c r="AB231" s="22">
        <f t="shared" si="7"/>
        <v>8.4720969127589625E-4</v>
      </c>
    </row>
    <row r="232" spans="2:28" hidden="1" x14ac:dyDescent="0.25">
      <c r="B232" s="41"/>
      <c r="C232" s="68" t="s">
        <v>267</v>
      </c>
      <c r="D232" s="28" t="s">
        <v>743</v>
      </c>
      <c r="E232" s="3"/>
      <c r="F232" s="69"/>
      <c r="G232" s="69"/>
      <c r="H232" s="3"/>
      <c r="I232" s="3"/>
      <c r="J232" s="3"/>
      <c r="K232" s="69">
        <v>20.02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3">
        <f t="shared" si="6"/>
        <v>20.02</v>
      </c>
      <c r="AA232" s="38"/>
      <c r="AB232" s="22">
        <f t="shared" si="7"/>
        <v>7.4423598154205542E-4</v>
      </c>
    </row>
    <row r="233" spans="2:28" hidden="1" x14ac:dyDescent="0.25">
      <c r="B233" s="41"/>
      <c r="C233" s="68" t="s">
        <v>268</v>
      </c>
      <c r="D233" s="28" t="s">
        <v>37</v>
      </c>
      <c r="E233" s="3"/>
      <c r="F233" s="69"/>
      <c r="G233" s="69"/>
      <c r="H233" s="3"/>
      <c r="I233" s="3"/>
      <c r="J233" s="3"/>
      <c r="K233" s="69">
        <v>9.65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3">
        <f t="shared" si="6"/>
        <v>9.65</v>
      </c>
      <c r="AA233" s="38"/>
      <c r="AB233" s="22">
        <f t="shared" si="7"/>
        <v>3.587351259680737E-4</v>
      </c>
    </row>
    <row r="234" spans="2:28" hidden="1" x14ac:dyDescent="0.25">
      <c r="B234" s="41"/>
      <c r="C234" s="68" t="s">
        <v>269</v>
      </c>
      <c r="D234" s="28" t="s">
        <v>37</v>
      </c>
      <c r="E234" s="3"/>
      <c r="F234" s="69"/>
      <c r="G234" s="69"/>
      <c r="H234" s="3"/>
      <c r="I234" s="3"/>
      <c r="J234" s="3"/>
      <c r="K234" s="69">
        <v>3.27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3">
        <f t="shared" si="6"/>
        <v>3.27</v>
      </c>
      <c r="AA234" s="38"/>
      <c r="AB234" s="22">
        <f t="shared" si="7"/>
        <v>1.215610219601659E-4</v>
      </c>
    </row>
    <row r="235" spans="2:28" hidden="1" x14ac:dyDescent="0.25">
      <c r="B235" s="41"/>
      <c r="C235" s="68" t="s">
        <v>270</v>
      </c>
      <c r="D235" s="28" t="s">
        <v>743</v>
      </c>
      <c r="E235" s="3"/>
      <c r="F235" s="69"/>
      <c r="G235" s="69"/>
      <c r="H235" s="3"/>
      <c r="I235" s="3"/>
      <c r="J235" s="3"/>
      <c r="K235" s="69">
        <v>21.28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3">
        <f t="shared" si="6"/>
        <v>21.28</v>
      </c>
      <c r="AA235" s="38"/>
      <c r="AB235" s="22">
        <f t="shared" si="7"/>
        <v>7.9107600835239466E-4</v>
      </c>
    </row>
    <row r="236" spans="2:28" hidden="1" x14ac:dyDescent="0.25">
      <c r="B236" s="41"/>
      <c r="C236" s="68" t="s">
        <v>271</v>
      </c>
      <c r="D236" s="28" t="s">
        <v>743</v>
      </c>
      <c r="E236" s="3"/>
      <c r="F236" s="69"/>
      <c r="G236" s="3"/>
      <c r="H236" s="3"/>
      <c r="I236" s="3"/>
      <c r="J236" s="3"/>
      <c r="K236" s="69">
        <v>18.46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3">
        <f t="shared" si="6"/>
        <v>18.46</v>
      </c>
      <c r="AA236" s="38"/>
      <c r="AB236" s="22">
        <f t="shared" si="7"/>
        <v>6.8624356739592127E-4</v>
      </c>
    </row>
    <row r="237" spans="2:28" hidden="1" x14ac:dyDescent="0.25">
      <c r="B237" s="41"/>
      <c r="C237" s="68" t="s">
        <v>272</v>
      </c>
      <c r="D237" s="28" t="s">
        <v>743</v>
      </c>
      <c r="E237" s="3"/>
      <c r="F237" s="69"/>
      <c r="G237" s="3"/>
      <c r="H237" s="3"/>
      <c r="I237" s="3"/>
      <c r="J237" s="3"/>
      <c r="K237" s="69">
        <v>18.34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3">
        <f t="shared" si="6"/>
        <v>18.34</v>
      </c>
      <c r="AA237" s="38"/>
      <c r="AB237" s="22">
        <f t="shared" si="7"/>
        <v>6.8178261246160327E-4</v>
      </c>
    </row>
    <row r="238" spans="2:28" hidden="1" x14ac:dyDescent="0.25">
      <c r="B238" s="41"/>
      <c r="C238" s="68" t="s">
        <v>273</v>
      </c>
      <c r="D238" s="28" t="s">
        <v>743</v>
      </c>
      <c r="E238" s="3"/>
      <c r="F238" s="69"/>
      <c r="G238" s="3"/>
      <c r="H238" s="3"/>
      <c r="I238" s="3"/>
      <c r="J238" s="3"/>
      <c r="K238" s="69">
        <v>18.34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3">
        <f t="shared" si="6"/>
        <v>18.34</v>
      </c>
      <c r="AA238" s="38"/>
      <c r="AB238" s="22">
        <f t="shared" si="7"/>
        <v>6.8178261246160327E-4</v>
      </c>
    </row>
    <row r="239" spans="2:28" hidden="1" x14ac:dyDescent="0.25">
      <c r="B239" s="41"/>
      <c r="C239" s="68" t="s">
        <v>274</v>
      </c>
      <c r="D239" s="28" t="s">
        <v>743</v>
      </c>
      <c r="E239" s="3"/>
      <c r="F239" s="69"/>
      <c r="G239" s="3"/>
      <c r="H239" s="3"/>
      <c r="I239" s="3"/>
      <c r="J239" s="3"/>
      <c r="K239" s="69">
        <v>18.46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3">
        <f t="shared" si="6"/>
        <v>18.46</v>
      </c>
      <c r="AA239" s="38"/>
      <c r="AB239" s="22">
        <f t="shared" si="7"/>
        <v>6.8624356739592127E-4</v>
      </c>
    </row>
    <row r="240" spans="2:28" hidden="1" x14ac:dyDescent="0.25">
      <c r="B240" s="41"/>
      <c r="C240" s="68" t="s">
        <v>275</v>
      </c>
      <c r="D240" s="28" t="s">
        <v>743</v>
      </c>
      <c r="E240" s="3"/>
      <c r="F240" s="69"/>
      <c r="G240" s="3"/>
      <c r="H240" s="3"/>
      <c r="I240" s="3"/>
      <c r="J240" s="3"/>
      <c r="K240" s="69">
        <v>18.34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3">
        <f t="shared" si="6"/>
        <v>18.34</v>
      </c>
      <c r="AA240" s="38"/>
      <c r="AB240" s="22">
        <f t="shared" si="7"/>
        <v>6.8178261246160327E-4</v>
      </c>
    </row>
    <row r="241" spans="2:28" hidden="1" x14ac:dyDescent="0.25">
      <c r="B241" s="41"/>
      <c r="C241" s="68" t="s">
        <v>276</v>
      </c>
      <c r="D241" s="28" t="s">
        <v>743</v>
      </c>
      <c r="E241" s="3"/>
      <c r="F241" s="69"/>
      <c r="G241" s="3"/>
      <c r="H241" s="3"/>
      <c r="I241" s="3"/>
      <c r="J241" s="3"/>
      <c r="K241" s="69">
        <v>18.34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3">
        <f t="shared" si="6"/>
        <v>18.34</v>
      </c>
      <c r="AA241" s="38"/>
      <c r="AB241" s="22">
        <f t="shared" si="7"/>
        <v>6.8178261246160327E-4</v>
      </c>
    </row>
    <row r="242" spans="2:28" hidden="1" x14ac:dyDescent="0.25">
      <c r="B242" s="41"/>
      <c r="C242" s="68" t="s">
        <v>277</v>
      </c>
      <c r="D242" s="28" t="s">
        <v>743</v>
      </c>
      <c r="E242" s="3"/>
      <c r="F242" s="69"/>
      <c r="G242" s="3"/>
      <c r="H242" s="3"/>
      <c r="I242" s="3"/>
      <c r="J242" s="3"/>
      <c r="K242" s="69">
        <v>18.46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3">
        <f t="shared" si="6"/>
        <v>18.46</v>
      </c>
      <c r="AA242" s="38"/>
      <c r="AB242" s="22">
        <f t="shared" si="7"/>
        <v>6.8624356739592127E-4</v>
      </c>
    </row>
    <row r="243" spans="2:28" hidden="1" x14ac:dyDescent="0.25">
      <c r="B243" s="41"/>
      <c r="C243" s="68" t="s">
        <v>278</v>
      </c>
      <c r="D243" s="28" t="s">
        <v>743</v>
      </c>
      <c r="E243" s="3"/>
      <c r="F243" s="69"/>
      <c r="G243" s="3"/>
      <c r="H243" s="3"/>
      <c r="I243" s="3"/>
      <c r="J243" s="3"/>
      <c r="K243" s="69">
        <v>18.46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3">
        <f t="shared" si="6"/>
        <v>18.46</v>
      </c>
      <c r="AA243" s="38"/>
      <c r="AB243" s="22">
        <f t="shared" si="7"/>
        <v>6.8624356739592127E-4</v>
      </c>
    </row>
    <row r="244" spans="2:28" hidden="1" x14ac:dyDescent="0.25">
      <c r="B244" s="41"/>
      <c r="C244" s="68" t="s">
        <v>279</v>
      </c>
      <c r="D244" s="28" t="s">
        <v>37</v>
      </c>
      <c r="E244" s="3"/>
      <c r="F244" s="69"/>
      <c r="G244" s="3"/>
      <c r="H244" s="3"/>
      <c r="I244" s="3"/>
      <c r="J244" s="3"/>
      <c r="K244" s="69">
        <v>5.12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3">
        <f t="shared" si="6"/>
        <v>5.12</v>
      </c>
      <c r="AA244" s="38"/>
      <c r="AB244" s="22">
        <f t="shared" si="7"/>
        <v>1.9033407719756863E-4</v>
      </c>
    </row>
    <row r="245" spans="2:28" hidden="1" x14ac:dyDescent="0.25">
      <c r="B245" s="41"/>
      <c r="C245" s="68" t="s">
        <v>280</v>
      </c>
      <c r="D245" s="28" t="s">
        <v>37</v>
      </c>
      <c r="E245" s="3"/>
      <c r="F245" s="69"/>
      <c r="G245" s="3"/>
      <c r="H245" s="3"/>
      <c r="I245" s="3"/>
      <c r="J245" s="3"/>
      <c r="K245" s="69">
        <v>4.53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3">
        <f t="shared" si="6"/>
        <v>4.53</v>
      </c>
      <c r="AA245" s="38"/>
      <c r="AB245" s="22">
        <f t="shared" si="7"/>
        <v>1.6840104877050507E-4</v>
      </c>
    </row>
    <row r="246" spans="2:28" hidden="1" x14ac:dyDescent="0.25">
      <c r="B246" s="41"/>
      <c r="C246" s="68" t="s">
        <v>281</v>
      </c>
      <c r="D246" s="28" t="s">
        <v>743</v>
      </c>
      <c r="E246" s="3"/>
      <c r="F246" s="69"/>
      <c r="G246" s="3"/>
      <c r="H246" s="3"/>
      <c r="I246" s="3"/>
      <c r="J246" s="3"/>
      <c r="K246" s="69">
        <v>18.989999999999998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3">
        <f t="shared" si="6"/>
        <v>18.989999999999998</v>
      </c>
      <c r="AA246" s="38"/>
      <c r="AB246" s="22">
        <f t="shared" si="7"/>
        <v>7.0594611835582584E-4</v>
      </c>
    </row>
    <row r="247" spans="2:28" hidden="1" x14ac:dyDescent="0.25">
      <c r="B247" s="41"/>
      <c r="C247" s="68" t="s">
        <v>282</v>
      </c>
      <c r="D247" s="28" t="s">
        <v>742</v>
      </c>
      <c r="E247" s="3"/>
      <c r="F247" s="69"/>
      <c r="G247" s="3"/>
      <c r="H247" s="3"/>
      <c r="I247" s="3"/>
      <c r="J247" s="3"/>
      <c r="K247" s="69">
        <v>15.29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3">
        <f t="shared" ref="Z247:Z307" si="8">SUM(E247:Y247)</f>
        <v>15.29</v>
      </c>
      <c r="AA247" s="38"/>
      <c r="AB247" s="22">
        <f t="shared" si="7"/>
        <v>5.6840000788102032E-4</v>
      </c>
    </row>
    <row r="248" spans="2:28" hidden="1" x14ac:dyDescent="0.25">
      <c r="B248" s="41"/>
      <c r="C248" s="68" t="s">
        <v>283</v>
      </c>
      <c r="D248" s="28" t="s">
        <v>742</v>
      </c>
      <c r="E248" s="3"/>
      <c r="F248" s="69"/>
      <c r="G248" s="3"/>
      <c r="H248" s="3"/>
      <c r="I248" s="3"/>
      <c r="J248" s="3"/>
      <c r="K248" s="69">
        <v>15.32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13">
        <f t="shared" si="8"/>
        <v>15.32</v>
      </c>
      <c r="AA248" s="38"/>
      <c r="AB248" s="22">
        <f t="shared" si="7"/>
        <v>5.6951524661459987E-4</v>
      </c>
    </row>
    <row r="249" spans="2:28" hidden="1" x14ac:dyDescent="0.25">
      <c r="B249" s="41"/>
      <c r="C249" s="68" t="s">
        <v>284</v>
      </c>
      <c r="D249" s="28" t="s">
        <v>742</v>
      </c>
      <c r="E249" s="3"/>
      <c r="F249" s="69"/>
      <c r="G249" s="3"/>
      <c r="H249" s="3"/>
      <c r="I249" s="3"/>
      <c r="J249" s="3"/>
      <c r="K249" s="69">
        <v>15.32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13">
        <f t="shared" si="8"/>
        <v>15.32</v>
      </c>
      <c r="AA249" s="38"/>
      <c r="AB249" s="22">
        <f t="shared" si="7"/>
        <v>5.6951524661459987E-4</v>
      </c>
    </row>
    <row r="250" spans="2:28" hidden="1" x14ac:dyDescent="0.25">
      <c r="B250" s="41"/>
      <c r="C250" s="68" t="s">
        <v>285</v>
      </c>
      <c r="D250" s="28" t="s">
        <v>742</v>
      </c>
      <c r="E250" s="3"/>
      <c r="F250" s="69"/>
      <c r="G250" s="3"/>
      <c r="H250" s="3"/>
      <c r="I250" s="3"/>
      <c r="J250" s="3"/>
      <c r="K250" s="69">
        <v>15.29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13">
        <f t="shared" si="8"/>
        <v>15.29</v>
      </c>
      <c r="AA250" s="38"/>
      <c r="AB250" s="22">
        <f t="shared" si="7"/>
        <v>5.6840000788102032E-4</v>
      </c>
    </row>
    <row r="251" spans="2:28" hidden="1" x14ac:dyDescent="0.25">
      <c r="B251" s="41"/>
      <c r="C251" s="68" t="s">
        <v>286</v>
      </c>
      <c r="D251" s="28" t="s">
        <v>742</v>
      </c>
      <c r="E251" s="3"/>
      <c r="F251" s="69"/>
      <c r="G251" s="3"/>
      <c r="H251" s="3"/>
      <c r="I251" s="3"/>
      <c r="J251" s="3"/>
      <c r="K251" s="69">
        <v>15.96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13">
        <f t="shared" si="8"/>
        <v>15.96</v>
      </c>
      <c r="AA251" s="38"/>
      <c r="AB251" s="22">
        <f t="shared" si="7"/>
        <v>5.93307006264296E-4</v>
      </c>
    </row>
    <row r="252" spans="2:28" hidden="1" x14ac:dyDescent="0.25">
      <c r="B252" s="41"/>
      <c r="C252" s="68" t="s">
        <v>287</v>
      </c>
      <c r="D252" s="28" t="s">
        <v>453</v>
      </c>
      <c r="E252" s="3"/>
      <c r="F252" s="69"/>
      <c r="G252" s="3"/>
      <c r="H252" s="3"/>
      <c r="I252" s="3"/>
      <c r="J252" s="3"/>
      <c r="K252" s="3"/>
      <c r="L252" s="3">
        <v>95.97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13">
        <f t="shared" si="8"/>
        <v>95.97</v>
      </c>
      <c r="AA252" s="38"/>
      <c r="AB252" s="22">
        <f t="shared" si="7"/>
        <v>3.5676487087208321E-3</v>
      </c>
    </row>
    <row r="253" spans="2:28" hidden="1" x14ac:dyDescent="0.25">
      <c r="B253" s="41"/>
      <c r="C253" s="68" t="s">
        <v>288</v>
      </c>
      <c r="D253" s="28" t="s">
        <v>453</v>
      </c>
      <c r="E253" s="3"/>
      <c r="F253" s="69"/>
      <c r="G253" s="3"/>
      <c r="H253" s="3"/>
      <c r="I253" s="3"/>
      <c r="J253" s="3"/>
      <c r="K253" s="3"/>
      <c r="L253" s="3">
        <v>93.95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13">
        <f t="shared" si="8"/>
        <v>93.95</v>
      </c>
      <c r="AA253" s="38"/>
      <c r="AB253" s="22">
        <f t="shared" si="7"/>
        <v>3.4925559673264794E-3</v>
      </c>
    </row>
    <row r="254" spans="2:28" hidden="1" x14ac:dyDescent="0.25">
      <c r="B254" s="41"/>
      <c r="C254" s="68" t="s">
        <v>289</v>
      </c>
      <c r="D254" s="28" t="s">
        <v>453</v>
      </c>
      <c r="E254" s="3"/>
      <c r="F254" s="69"/>
      <c r="G254" s="3"/>
      <c r="H254" s="3"/>
      <c r="I254" s="3"/>
      <c r="J254" s="3"/>
      <c r="K254" s="3"/>
      <c r="L254" s="3">
        <v>77.569999999999993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13">
        <f t="shared" si="8"/>
        <v>77.569999999999993</v>
      </c>
      <c r="AA254" s="38"/>
      <c r="AB254" s="22">
        <f t="shared" si="7"/>
        <v>2.8836356187920699E-3</v>
      </c>
    </row>
    <row r="255" spans="2:28" hidden="1" x14ac:dyDescent="0.25">
      <c r="B255" s="41"/>
      <c r="C255" s="68" t="s">
        <v>290</v>
      </c>
      <c r="D255" s="28" t="s">
        <v>453</v>
      </c>
      <c r="E255" s="3"/>
      <c r="F255" s="69"/>
      <c r="G255" s="3"/>
      <c r="H255" s="3"/>
      <c r="I255" s="3"/>
      <c r="J255" s="3"/>
      <c r="K255" s="3"/>
      <c r="L255" s="3">
        <v>78.17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13">
        <f t="shared" si="8"/>
        <v>78.17</v>
      </c>
      <c r="AA255" s="38"/>
      <c r="AB255" s="22">
        <f t="shared" si="7"/>
        <v>2.9059403934636602E-3</v>
      </c>
    </row>
    <row r="256" spans="2:28" hidden="1" x14ac:dyDescent="0.25">
      <c r="B256" s="41"/>
      <c r="C256" s="68" t="s">
        <v>291</v>
      </c>
      <c r="D256" s="28" t="s">
        <v>453</v>
      </c>
      <c r="E256" s="3"/>
      <c r="F256" s="69"/>
      <c r="G256" s="3"/>
      <c r="H256" s="3"/>
      <c r="I256" s="3"/>
      <c r="J256" s="3"/>
      <c r="K256" s="3"/>
      <c r="L256" s="3">
        <v>79.06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13">
        <f t="shared" si="8"/>
        <v>79.06</v>
      </c>
      <c r="AA256" s="38"/>
      <c r="AB256" s="22">
        <f t="shared" si="7"/>
        <v>2.9390258092265188E-3</v>
      </c>
    </row>
    <row r="257" spans="2:28" hidden="1" x14ac:dyDescent="0.25">
      <c r="B257" s="41"/>
      <c r="C257" s="68" t="s">
        <v>292</v>
      </c>
      <c r="D257" s="28" t="s">
        <v>453</v>
      </c>
      <c r="E257" s="3"/>
      <c r="F257" s="69"/>
      <c r="G257" s="3"/>
      <c r="H257" s="3"/>
      <c r="I257" s="3"/>
      <c r="J257" s="3"/>
      <c r="K257" s="3"/>
      <c r="L257" s="3">
        <v>50.82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13">
        <f t="shared" si="8"/>
        <v>50.82</v>
      </c>
      <c r="AA257" s="38"/>
      <c r="AB257" s="22">
        <f t="shared" si="7"/>
        <v>1.8892144146836793E-3</v>
      </c>
    </row>
    <row r="258" spans="2:28" hidden="1" x14ac:dyDescent="0.25">
      <c r="B258" s="41"/>
      <c r="C258" s="68" t="s">
        <v>293</v>
      </c>
      <c r="D258" s="28" t="s">
        <v>453</v>
      </c>
      <c r="E258" s="3"/>
      <c r="F258" s="69"/>
      <c r="G258" s="3"/>
      <c r="H258" s="3"/>
      <c r="I258" s="3"/>
      <c r="J258" s="3"/>
      <c r="K258" s="3"/>
      <c r="L258" s="3">
        <v>52.39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13">
        <f t="shared" si="8"/>
        <v>52.39</v>
      </c>
      <c r="AA258" s="38"/>
      <c r="AB258" s="22">
        <f t="shared" si="7"/>
        <v>1.9475785750743401E-3</v>
      </c>
    </row>
    <row r="259" spans="2:28" hidden="1" x14ac:dyDescent="0.25">
      <c r="B259" s="41"/>
      <c r="C259" s="68" t="s">
        <v>294</v>
      </c>
      <c r="D259" s="28" t="s">
        <v>453</v>
      </c>
      <c r="E259" s="3"/>
      <c r="F259" s="69"/>
      <c r="G259" s="3"/>
      <c r="H259" s="3"/>
      <c r="I259" s="3"/>
      <c r="J259" s="3"/>
      <c r="K259" s="3"/>
      <c r="L259" s="3">
        <v>53.6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13">
        <f t="shared" si="8"/>
        <v>53.6</v>
      </c>
      <c r="AA259" s="38"/>
      <c r="AB259" s="22">
        <f t="shared" si="7"/>
        <v>1.9925598706620469E-3</v>
      </c>
    </row>
    <row r="260" spans="2:28" hidden="1" x14ac:dyDescent="0.25">
      <c r="B260" s="41"/>
      <c r="C260" s="68" t="s">
        <v>295</v>
      </c>
      <c r="D260" s="28" t="s">
        <v>453</v>
      </c>
      <c r="E260" s="3"/>
      <c r="F260" s="69"/>
      <c r="G260" s="3"/>
      <c r="H260" s="3"/>
      <c r="I260" s="3"/>
      <c r="J260" s="3"/>
      <c r="K260" s="3"/>
      <c r="L260" s="3">
        <v>55.87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13">
        <f t="shared" si="8"/>
        <v>55.87</v>
      </c>
      <c r="AA260" s="38"/>
      <c r="AB260" s="22">
        <f t="shared" si="7"/>
        <v>2.0769462681695622E-3</v>
      </c>
    </row>
    <row r="261" spans="2:28" hidden="1" x14ac:dyDescent="0.25">
      <c r="B261" s="41"/>
      <c r="C261" s="68" t="s">
        <v>296</v>
      </c>
      <c r="D261" s="28" t="s">
        <v>453</v>
      </c>
      <c r="E261" s="3"/>
      <c r="F261" s="69"/>
      <c r="G261" s="3"/>
      <c r="H261" s="3"/>
      <c r="I261" s="3"/>
      <c r="J261" s="3"/>
      <c r="K261" s="3"/>
      <c r="L261" s="3">
        <v>50.95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13">
        <f t="shared" si="8"/>
        <v>50.95</v>
      </c>
      <c r="AA261" s="38"/>
      <c r="AB261" s="22">
        <f t="shared" si="7"/>
        <v>1.8940471158625238E-3</v>
      </c>
    </row>
    <row r="262" spans="2:28" hidden="1" x14ac:dyDescent="0.25">
      <c r="B262" s="41"/>
      <c r="C262" s="68" t="s">
        <v>297</v>
      </c>
      <c r="D262" s="28" t="s">
        <v>453</v>
      </c>
      <c r="E262" s="3"/>
      <c r="F262" s="69"/>
      <c r="G262" s="3"/>
      <c r="H262" s="3"/>
      <c r="I262" s="3"/>
      <c r="J262" s="3"/>
      <c r="K262" s="3"/>
      <c r="L262" s="3">
        <v>48.87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13">
        <f t="shared" si="8"/>
        <v>48.87</v>
      </c>
      <c r="AA262" s="38"/>
      <c r="AB262" s="22">
        <f t="shared" ref="AB262:AB325" si="9">+Z262/$AA$877</f>
        <v>1.8167238970010114E-3</v>
      </c>
    </row>
    <row r="263" spans="2:28" hidden="1" x14ac:dyDescent="0.25">
      <c r="B263" s="41"/>
      <c r="C263" s="68" t="s">
        <v>298</v>
      </c>
      <c r="D263" s="28" t="s">
        <v>453</v>
      </c>
      <c r="E263" s="3"/>
      <c r="F263" s="69"/>
      <c r="G263" s="3"/>
      <c r="H263" s="3"/>
      <c r="I263" s="3"/>
      <c r="J263" s="3"/>
      <c r="K263" s="3"/>
      <c r="L263" s="3">
        <v>55.78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13">
        <f t="shared" si="8"/>
        <v>55.78</v>
      </c>
      <c r="AA263" s="38"/>
      <c r="AB263" s="22">
        <f t="shared" si="9"/>
        <v>2.073600551968824E-3</v>
      </c>
    </row>
    <row r="264" spans="2:28" hidden="1" x14ac:dyDescent="0.25">
      <c r="B264" s="41"/>
      <c r="C264" s="68" t="s">
        <v>299</v>
      </c>
      <c r="D264" s="28" t="s">
        <v>453</v>
      </c>
      <c r="E264" s="3"/>
      <c r="F264" s="69"/>
      <c r="G264" s="3"/>
      <c r="H264" s="3"/>
      <c r="I264" s="3"/>
      <c r="J264" s="3"/>
      <c r="K264" s="3"/>
      <c r="L264" s="3">
        <v>88.45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13">
        <f t="shared" si="8"/>
        <v>88.45</v>
      </c>
      <c r="AA264" s="38"/>
      <c r="AB264" s="22">
        <f t="shared" si="9"/>
        <v>3.2880955328369035E-3</v>
      </c>
    </row>
    <row r="265" spans="2:28" hidden="1" x14ac:dyDescent="0.25">
      <c r="B265" s="41"/>
      <c r="C265" s="68" t="s">
        <v>300</v>
      </c>
      <c r="D265" s="28" t="s">
        <v>453</v>
      </c>
      <c r="E265" s="3"/>
      <c r="F265" s="69"/>
      <c r="G265" s="3"/>
      <c r="H265" s="3"/>
      <c r="I265" s="3"/>
      <c r="J265" s="3"/>
      <c r="K265" s="3"/>
      <c r="L265" s="3">
        <v>57.6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13">
        <f t="shared" si="8"/>
        <v>57.6</v>
      </c>
      <c r="AA265" s="38"/>
      <c r="AB265" s="22">
        <f t="shared" si="9"/>
        <v>2.141258368472647E-3</v>
      </c>
    </row>
    <row r="266" spans="2:28" hidden="1" x14ac:dyDescent="0.25">
      <c r="B266" s="41"/>
      <c r="C266" s="68" t="s">
        <v>301</v>
      </c>
      <c r="D266" s="28" t="s">
        <v>453</v>
      </c>
      <c r="E266" s="3"/>
      <c r="F266" s="69"/>
      <c r="G266" s="3"/>
      <c r="H266" s="3"/>
      <c r="I266" s="3"/>
      <c r="J266" s="3"/>
      <c r="K266" s="3"/>
      <c r="L266" s="3">
        <v>56.96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13">
        <f t="shared" si="8"/>
        <v>56.96</v>
      </c>
      <c r="AA266" s="38"/>
      <c r="AB266" s="22">
        <f t="shared" si="9"/>
        <v>2.117466608822951E-3</v>
      </c>
    </row>
    <row r="267" spans="2:28" hidden="1" x14ac:dyDescent="0.25">
      <c r="B267" s="41"/>
      <c r="C267" s="68" t="s">
        <v>302</v>
      </c>
      <c r="D267" s="28" t="s">
        <v>453</v>
      </c>
      <c r="E267" s="3"/>
      <c r="F267" s="69"/>
      <c r="G267" s="3"/>
      <c r="H267" s="3"/>
      <c r="I267" s="3"/>
      <c r="J267" s="3"/>
      <c r="K267" s="3"/>
      <c r="L267" s="3"/>
      <c r="M267" s="3">
        <f t="shared" ref="M267:M281" si="10">L252</f>
        <v>95.97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13">
        <f t="shared" si="8"/>
        <v>95.97</v>
      </c>
      <c r="AA267" s="38"/>
      <c r="AB267" s="22">
        <f t="shared" si="9"/>
        <v>3.5676487087208321E-3</v>
      </c>
    </row>
    <row r="268" spans="2:28" hidden="1" x14ac:dyDescent="0.25">
      <c r="B268" s="36" t="s">
        <v>872</v>
      </c>
      <c r="C268" s="68" t="s">
        <v>303</v>
      </c>
      <c r="D268" s="28" t="s">
        <v>453</v>
      </c>
      <c r="E268" s="3"/>
      <c r="F268" s="69"/>
      <c r="G268" s="3"/>
      <c r="H268" s="3"/>
      <c r="I268" s="3"/>
      <c r="J268" s="3"/>
      <c r="K268" s="3"/>
      <c r="L268" s="3"/>
      <c r="M268" s="3">
        <f t="shared" si="10"/>
        <v>93.95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13">
        <f t="shared" si="8"/>
        <v>93.95</v>
      </c>
      <c r="AA268" s="38"/>
      <c r="AB268" s="22">
        <f t="shared" si="9"/>
        <v>3.4925559673264794E-3</v>
      </c>
    </row>
    <row r="269" spans="2:28" hidden="1" x14ac:dyDescent="0.25">
      <c r="B269" s="36" t="s">
        <v>873</v>
      </c>
      <c r="C269" s="68" t="s">
        <v>304</v>
      </c>
      <c r="D269" s="28" t="s">
        <v>453</v>
      </c>
      <c r="E269" s="3"/>
      <c r="F269" s="69"/>
      <c r="G269" s="3"/>
      <c r="H269" s="3"/>
      <c r="I269" s="3"/>
      <c r="J269" s="3"/>
      <c r="K269" s="3"/>
      <c r="L269" s="3"/>
      <c r="M269" s="3">
        <f t="shared" si="10"/>
        <v>77.569999999999993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13">
        <f t="shared" si="8"/>
        <v>77.569999999999993</v>
      </c>
      <c r="AA269" s="38"/>
      <c r="AB269" s="22">
        <f t="shared" si="9"/>
        <v>2.8836356187920699E-3</v>
      </c>
    </row>
    <row r="270" spans="2:28" hidden="1" x14ac:dyDescent="0.25">
      <c r="B270" s="41"/>
      <c r="C270" s="68" t="s">
        <v>305</v>
      </c>
      <c r="D270" s="28" t="s">
        <v>453</v>
      </c>
      <c r="E270" s="3"/>
      <c r="F270" s="69"/>
      <c r="G270" s="3"/>
      <c r="H270" s="3"/>
      <c r="I270" s="3"/>
      <c r="J270" s="3"/>
      <c r="K270" s="3"/>
      <c r="L270" s="3"/>
      <c r="M270" s="3">
        <f t="shared" si="10"/>
        <v>78.17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13">
        <f t="shared" si="8"/>
        <v>78.17</v>
      </c>
      <c r="AA270" s="38"/>
      <c r="AB270" s="22">
        <f t="shared" si="9"/>
        <v>2.9059403934636602E-3</v>
      </c>
    </row>
    <row r="271" spans="2:28" hidden="1" x14ac:dyDescent="0.25">
      <c r="B271" s="41"/>
      <c r="C271" s="68" t="s">
        <v>306</v>
      </c>
      <c r="D271" s="28" t="s">
        <v>453</v>
      </c>
      <c r="E271" s="3"/>
      <c r="F271" s="69"/>
      <c r="G271" s="3"/>
      <c r="H271" s="3"/>
      <c r="I271" s="3"/>
      <c r="J271" s="3"/>
      <c r="K271" s="3"/>
      <c r="L271" s="3"/>
      <c r="M271" s="3">
        <f t="shared" si="10"/>
        <v>79.06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13">
        <f t="shared" si="8"/>
        <v>79.06</v>
      </c>
      <c r="AA271" s="38"/>
      <c r="AB271" s="22">
        <f t="shared" si="9"/>
        <v>2.9390258092265188E-3</v>
      </c>
    </row>
    <row r="272" spans="2:28" hidden="1" x14ac:dyDescent="0.25">
      <c r="B272" s="41"/>
      <c r="C272" s="68" t="s">
        <v>307</v>
      </c>
      <c r="D272" s="28" t="s">
        <v>453</v>
      </c>
      <c r="E272" s="3"/>
      <c r="F272" s="69"/>
      <c r="G272" s="3"/>
      <c r="H272" s="3"/>
      <c r="I272" s="3"/>
      <c r="J272" s="3"/>
      <c r="K272" s="3"/>
      <c r="L272" s="3"/>
      <c r="M272" s="3">
        <f t="shared" si="10"/>
        <v>50.82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13">
        <f t="shared" si="8"/>
        <v>50.82</v>
      </c>
      <c r="AA272" s="38"/>
      <c r="AB272" s="22">
        <f t="shared" si="9"/>
        <v>1.8892144146836793E-3</v>
      </c>
    </row>
    <row r="273" spans="2:28" hidden="1" x14ac:dyDescent="0.25">
      <c r="B273" s="41"/>
      <c r="C273" s="68" t="s">
        <v>308</v>
      </c>
      <c r="D273" s="28" t="s">
        <v>453</v>
      </c>
      <c r="E273" s="3"/>
      <c r="F273" s="69"/>
      <c r="G273" s="3"/>
      <c r="H273" s="3"/>
      <c r="I273" s="3"/>
      <c r="J273" s="3"/>
      <c r="K273" s="3"/>
      <c r="L273" s="3"/>
      <c r="M273" s="3">
        <f t="shared" si="10"/>
        <v>52.39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13">
        <f t="shared" si="8"/>
        <v>52.39</v>
      </c>
      <c r="AA273" s="38"/>
      <c r="AB273" s="22">
        <f t="shared" si="9"/>
        <v>1.9475785750743401E-3</v>
      </c>
    </row>
    <row r="274" spans="2:28" hidden="1" x14ac:dyDescent="0.25">
      <c r="B274" s="41"/>
      <c r="C274" s="68" t="s">
        <v>309</v>
      </c>
      <c r="D274" s="28" t="s">
        <v>453</v>
      </c>
      <c r="E274" s="3"/>
      <c r="F274" s="69"/>
      <c r="G274" s="3"/>
      <c r="H274" s="3"/>
      <c r="I274" s="3"/>
      <c r="J274" s="3"/>
      <c r="K274" s="3"/>
      <c r="L274" s="3"/>
      <c r="M274" s="3">
        <f t="shared" si="10"/>
        <v>53.6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13">
        <f t="shared" si="8"/>
        <v>53.6</v>
      </c>
      <c r="AA274" s="38"/>
      <c r="AB274" s="22">
        <f t="shared" si="9"/>
        <v>1.9925598706620469E-3</v>
      </c>
    </row>
    <row r="275" spans="2:28" hidden="1" x14ac:dyDescent="0.25">
      <c r="B275" s="41"/>
      <c r="C275" s="68" t="s">
        <v>310</v>
      </c>
      <c r="D275" s="28" t="s">
        <v>453</v>
      </c>
      <c r="E275" s="3"/>
      <c r="F275" s="69"/>
      <c r="G275" s="3"/>
      <c r="H275" s="3"/>
      <c r="I275" s="3"/>
      <c r="J275" s="3"/>
      <c r="K275" s="3"/>
      <c r="L275" s="3"/>
      <c r="M275" s="3">
        <f t="shared" si="10"/>
        <v>55.87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3">
        <f t="shared" si="8"/>
        <v>55.87</v>
      </c>
      <c r="AA275" s="38"/>
      <c r="AB275" s="22">
        <f t="shared" si="9"/>
        <v>2.0769462681695622E-3</v>
      </c>
    </row>
    <row r="276" spans="2:28" hidden="1" x14ac:dyDescent="0.25">
      <c r="B276" s="41"/>
      <c r="C276" s="68" t="s">
        <v>311</v>
      </c>
      <c r="D276" s="28" t="s">
        <v>453</v>
      </c>
      <c r="E276" s="3"/>
      <c r="F276" s="69"/>
      <c r="G276" s="3"/>
      <c r="H276" s="3"/>
      <c r="I276" s="3"/>
      <c r="J276" s="3"/>
      <c r="K276" s="3"/>
      <c r="L276" s="3"/>
      <c r="M276" s="3">
        <f t="shared" si="10"/>
        <v>50.95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13">
        <f t="shared" si="8"/>
        <v>50.95</v>
      </c>
      <c r="AA276" s="38"/>
      <c r="AB276" s="22">
        <f t="shared" si="9"/>
        <v>1.8940471158625238E-3</v>
      </c>
    </row>
    <row r="277" spans="2:28" hidden="1" x14ac:dyDescent="0.25">
      <c r="B277" s="41"/>
      <c r="C277" s="68" t="s">
        <v>312</v>
      </c>
      <c r="D277" s="28" t="s">
        <v>453</v>
      </c>
      <c r="E277" s="3"/>
      <c r="F277" s="69"/>
      <c r="G277" s="3"/>
      <c r="H277" s="3"/>
      <c r="I277" s="3"/>
      <c r="J277" s="3"/>
      <c r="K277" s="3"/>
      <c r="L277" s="3"/>
      <c r="M277" s="3">
        <f t="shared" si="10"/>
        <v>48.87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13">
        <f t="shared" si="8"/>
        <v>48.87</v>
      </c>
      <c r="AA277" s="38"/>
      <c r="AB277" s="22">
        <f t="shared" si="9"/>
        <v>1.8167238970010114E-3</v>
      </c>
    </row>
    <row r="278" spans="2:28" hidden="1" x14ac:dyDescent="0.25">
      <c r="B278" s="41"/>
      <c r="C278" s="68" t="s">
        <v>313</v>
      </c>
      <c r="D278" s="28" t="s">
        <v>453</v>
      </c>
      <c r="E278" s="3"/>
      <c r="F278" s="69"/>
      <c r="G278" s="3"/>
      <c r="H278" s="3"/>
      <c r="I278" s="3"/>
      <c r="J278" s="3"/>
      <c r="K278" s="3"/>
      <c r="L278" s="3"/>
      <c r="M278" s="3">
        <f t="shared" si="10"/>
        <v>55.78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13">
        <f t="shared" si="8"/>
        <v>55.78</v>
      </c>
      <c r="AA278" s="38"/>
      <c r="AB278" s="22">
        <f t="shared" si="9"/>
        <v>2.073600551968824E-3</v>
      </c>
    </row>
    <row r="279" spans="2:28" hidden="1" x14ac:dyDescent="0.25">
      <c r="B279" s="41"/>
      <c r="C279" s="68" t="s">
        <v>314</v>
      </c>
      <c r="D279" s="28" t="s">
        <v>453</v>
      </c>
      <c r="E279" s="3"/>
      <c r="F279" s="69"/>
      <c r="G279" s="3"/>
      <c r="H279" s="3"/>
      <c r="I279" s="3"/>
      <c r="J279" s="3"/>
      <c r="K279" s="3"/>
      <c r="L279" s="3"/>
      <c r="M279" s="3">
        <f t="shared" si="10"/>
        <v>88.45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13">
        <f t="shared" si="8"/>
        <v>88.45</v>
      </c>
      <c r="AA279" s="38"/>
      <c r="AB279" s="22">
        <f t="shared" si="9"/>
        <v>3.2880955328369035E-3</v>
      </c>
    </row>
    <row r="280" spans="2:28" hidden="1" x14ac:dyDescent="0.25">
      <c r="B280" s="41"/>
      <c r="C280" s="68" t="s">
        <v>315</v>
      </c>
      <c r="D280" s="28" t="s">
        <v>453</v>
      </c>
      <c r="E280" s="3"/>
      <c r="F280" s="69"/>
      <c r="G280" s="3"/>
      <c r="H280" s="3"/>
      <c r="I280" s="3"/>
      <c r="J280" s="3"/>
      <c r="K280" s="3"/>
      <c r="L280" s="3"/>
      <c r="M280" s="3">
        <f t="shared" si="10"/>
        <v>57.6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13">
        <f t="shared" si="8"/>
        <v>57.6</v>
      </c>
      <c r="AA280" s="38"/>
      <c r="AB280" s="22">
        <f t="shared" si="9"/>
        <v>2.141258368472647E-3</v>
      </c>
    </row>
    <row r="281" spans="2:28" hidden="1" x14ac:dyDescent="0.25">
      <c r="B281" s="41"/>
      <c r="C281" s="68" t="s">
        <v>316</v>
      </c>
      <c r="D281" s="28" t="s">
        <v>453</v>
      </c>
      <c r="E281" s="3"/>
      <c r="F281" s="69"/>
      <c r="G281" s="3"/>
      <c r="H281" s="3"/>
      <c r="I281" s="3"/>
      <c r="J281" s="3"/>
      <c r="K281" s="3"/>
      <c r="L281" s="3"/>
      <c r="M281" s="3">
        <f t="shared" si="10"/>
        <v>56.96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13">
        <f t="shared" si="8"/>
        <v>56.96</v>
      </c>
      <c r="AA281" s="38"/>
      <c r="AB281" s="22">
        <f t="shared" si="9"/>
        <v>2.117466608822951E-3</v>
      </c>
    </row>
    <row r="282" spans="2:28" hidden="1" x14ac:dyDescent="0.25">
      <c r="B282" s="41"/>
      <c r="C282" s="68" t="s">
        <v>317</v>
      </c>
      <c r="D282" s="28" t="s">
        <v>453</v>
      </c>
      <c r="E282" s="3"/>
      <c r="F282" s="69"/>
      <c r="G282" s="3"/>
      <c r="H282" s="3"/>
      <c r="I282" s="3"/>
      <c r="J282" s="3"/>
      <c r="K282" s="3"/>
      <c r="L282" s="3"/>
      <c r="M282" s="3"/>
      <c r="N282" s="3">
        <f t="shared" ref="N282:N296" si="11">L252</f>
        <v>95.97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13">
        <f t="shared" si="8"/>
        <v>95.97</v>
      </c>
      <c r="AA282" s="38"/>
      <c r="AB282" s="22">
        <f t="shared" si="9"/>
        <v>3.5676487087208321E-3</v>
      </c>
    </row>
    <row r="283" spans="2:28" hidden="1" x14ac:dyDescent="0.25">
      <c r="B283" s="41"/>
      <c r="C283" s="68" t="s">
        <v>318</v>
      </c>
      <c r="D283" s="28" t="s">
        <v>453</v>
      </c>
      <c r="E283" s="3"/>
      <c r="F283" s="69"/>
      <c r="G283" s="3"/>
      <c r="H283" s="3"/>
      <c r="I283" s="3"/>
      <c r="J283" s="3"/>
      <c r="K283" s="3"/>
      <c r="L283" s="3"/>
      <c r="M283" s="3"/>
      <c r="N283" s="3">
        <f t="shared" si="11"/>
        <v>93.95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13">
        <f t="shared" si="8"/>
        <v>93.95</v>
      </c>
      <c r="AA283" s="38"/>
      <c r="AB283" s="22">
        <f t="shared" si="9"/>
        <v>3.4925559673264794E-3</v>
      </c>
    </row>
    <row r="284" spans="2:28" hidden="1" x14ac:dyDescent="0.25">
      <c r="B284" s="41"/>
      <c r="C284" s="68" t="s">
        <v>319</v>
      </c>
      <c r="D284" s="28" t="s">
        <v>453</v>
      </c>
      <c r="E284" s="3"/>
      <c r="F284" s="69"/>
      <c r="G284" s="3"/>
      <c r="H284" s="3"/>
      <c r="I284" s="3"/>
      <c r="J284" s="3"/>
      <c r="K284" s="3"/>
      <c r="L284" s="3"/>
      <c r="M284" s="3"/>
      <c r="N284" s="3">
        <f t="shared" si="11"/>
        <v>77.569999999999993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13">
        <f t="shared" si="8"/>
        <v>77.569999999999993</v>
      </c>
      <c r="AA284" s="38"/>
      <c r="AB284" s="22">
        <f t="shared" si="9"/>
        <v>2.8836356187920699E-3</v>
      </c>
    </row>
    <row r="285" spans="2:28" hidden="1" x14ac:dyDescent="0.25">
      <c r="B285" s="41"/>
      <c r="C285" s="68" t="s">
        <v>320</v>
      </c>
      <c r="D285" s="28" t="s">
        <v>453</v>
      </c>
      <c r="E285" s="3"/>
      <c r="F285" s="69"/>
      <c r="G285" s="3"/>
      <c r="H285" s="3"/>
      <c r="I285" s="3"/>
      <c r="J285" s="3"/>
      <c r="K285" s="3"/>
      <c r="L285" s="3"/>
      <c r="M285" s="3"/>
      <c r="N285" s="3">
        <f t="shared" si="11"/>
        <v>78.17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13">
        <f t="shared" si="8"/>
        <v>78.17</v>
      </c>
      <c r="AA285" s="38"/>
      <c r="AB285" s="22">
        <f t="shared" si="9"/>
        <v>2.9059403934636602E-3</v>
      </c>
    </row>
    <row r="286" spans="2:28" hidden="1" x14ac:dyDescent="0.25">
      <c r="B286" s="41"/>
      <c r="C286" s="68" t="s">
        <v>321</v>
      </c>
      <c r="D286" s="28" t="s">
        <v>453</v>
      </c>
      <c r="E286" s="3"/>
      <c r="F286" s="69"/>
      <c r="G286" s="3"/>
      <c r="H286" s="3"/>
      <c r="I286" s="3"/>
      <c r="J286" s="3"/>
      <c r="K286" s="3"/>
      <c r="L286" s="3"/>
      <c r="M286" s="3"/>
      <c r="N286" s="3">
        <f t="shared" si="11"/>
        <v>79.06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3">
        <f t="shared" si="8"/>
        <v>79.06</v>
      </c>
      <c r="AA286" s="38"/>
      <c r="AB286" s="22">
        <f t="shared" si="9"/>
        <v>2.9390258092265188E-3</v>
      </c>
    </row>
    <row r="287" spans="2:28" hidden="1" x14ac:dyDescent="0.25">
      <c r="B287" s="41"/>
      <c r="C287" s="68" t="s">
        <v>322</v>
      </c>
      <c r="D287" s="28" t="s">
        <v>453</v>
      </c>
      <c r="E287" s="3"/>
      <c r="F287" s="69"/>
      <c r="G287" s="3"/>
      <c r="H287" s="3"/>
      <c r="I287" s="3"/>
      <c r="J287" s="3"/>
      <c r="K287" s="3"/>
      <c r="L287" s="3"/>
      <c r="M287" s="3"/>
      <c r="N287" s="3">
        <f t="shared" si="11"/>
        <v>50.82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13">
        <f t="shared" si="8"/>
        <v>50.82</v>
      </c>
      <c r="AA287" s="38"/>
      <c r="AB287" s="22">
        <f t="shared" si="9"/>
        <v>1.8892144146836793E-3</v>
      </c>
    </row>
    <row r="288" spans="2:28" hidden="1" x14ac:dyDescent="0.25">
      <c r="B288" s="41"/>
      <c r="C288" s="68" t="s">
        <v>323</v>
      </c>
      <c r="D288" s="28" t="s">
        <v>453</v>
      </c>
      <c r="E288" s="3"/>
      <c r="F288" s="69"/>
      <c r="G288" s="3"/>
      <c r="H288" s="3"/>
      <c r="I288" s="3"/>
      <c r="J288" s="3"/>
      <c r="K288" s="3"/>
      <c r="L288" s="3"/>
      <c r="M288" s="3"/>
      <c r="N288" s="3">
        <f t="shared" si="11"/>
        <v>52.39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13">
        <f t="shared" si="8"/>
        <v>52.39</v>
      </c>
      <c r="AA288" s="38"/>
      <c r="AB288" s="22">
        <f t="shared" si="9"/>
        <v>1.9475785750743401E-3</v>
      </c>
    </row>
    <row r="289" spans="2:28" hidden="1" x14ac:dyDescent="0.25">
      <c r="B289" s="41"/>
      <c r="C289" s="68" t="s">
        <v>324</v>
      </c>
      <c r="D289" s="28" t="s">
        <v>453</v>
      </c>
      <c r="E289" s="3"/>
      <c r="F289" s="69"/>
      <c r="G289" s="3"/>
      <c r="H289" s="3"/>
      <c r="I289" s="3"/>
      <c r="J289" s="3"/>
      <c r="K289" s="3"/>
      <c r="L289" s="3"/>
      <c r="M289" s="3"/>
      <c r="N289" s="3">
        <f t="shared" si="11"/>
        <v>53.6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13">
        <f t="shared" si="8"/>
        <v>53.6</v>
      </c>
      <c r="AA289" s="38"/>
      <c r="AB289" s="22">
        <f t="shared" si="9"/>
        <v>1.9925598706620469E-3</v>
      </c>
    </row>
    <row r="290" spans="2:28" hidden="1" x14ac:dyDescent="0.25">
      <c r="B290" s="41"/>
      <c r="C290" s="68" t="s">
        <v>325</v>
      </c>
      <c r="D290" s="28" t="s">
        <v>453</v>
      </c>
      <c r="E290" s="3"/>
      <c r="F290" s="69"/>
      <c r="G290" s="3"/>
      <c r="H290" s="3"/>
      <c r="I290" s="3"/>
      <c r="J290" s="3"/>
      <c r="K290" s="3"/>
      <c r="L290" s="3"/>
      <c r="M290" s="3"/>
      <c r="N290" s="3">
        <f t="shared" si="11"/>
        <v>55.87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13">
        <f t="shared" si="8"/>
        <v>55.87</v>
      </c>
      <c r="AA290" s="38"/>
      <c r="AB290" s="22">
        <f t="shared" si="9"/>
        <v>2.0769462681695622E-3</v>
      </c>
    </row>
    <row r="291" spans="2:28" hidden="1" x14ac:dyDescent="0.25">
      <c r="B291" s="41"/>
      <c r="C291" s="68" t="s">
        <v>326</v>
      </c>
      <c r="D291" s="28" t="s">
        <v>453</v>
      </c>
      <c r="E291" s="3"/>
      <c r="F291" s="69"/>
      <c r="G291" s="3"/>
      <c r="H291" s="3"/>
      <c r="I291" s="3"/>
      <c r="J291" s="3"/>
      <c r="K291" s="3"/>
      <c r="L291" s="3"/>
      <c r="M291" s="3"/>
      <c r="N291" s="3">
        <f t="shared" si="11"/>
        <v>50.95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13">
        <f t="shared" si="8"/>
        <v>50.95</v>
      </c>
      <c r="AA291" s="38"/>
      <c r="AB291" s="22">
        <f t="shared" si="9"/>
        <v>1.8940471158625238E-3</v>
      </c>
    </row>
    <row r="292" spans="2:28" hidden="1" x14ac:dyDescent="0.25">
      <c r="B292" s="41"/>
      <c r="C292" s="68" t="s">
        <v>327</v>
      </c>
      <c r="D292" s="28" t="s">
        <v>453</v>
      </c>
      <c r="E292" s="3"/>
      <c r="F292" s="69"/>
      <c r="G292" s="3"/>
      <c r="H292" s="3"/>
      <c r="I292" s="3"/>
      <c r="J292" s="3"/>
      <c r="K292" s="3"/>
      <c r="L292" s="3"/>
      <c r="M292" s="3"/>
      <c r="N292" s="3">
        <f t="shared" si="11"/>
        <v>48.87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13">
        <f t="shared" si="8"/>
        <v>48.87</v>
      </c>
      <c r="AA292" s="38"/>
      <c r="AB292" s="22">
        <f t="shared" si="9"/>
        <v>1.8167238970010114E-3</v>
      </c>
    </row>
    <row r="293" spans="2:28" hidden="1" x14ac:dyDescent="0.25">
      <c r="B293" s="41"/>
      <c r="C293" s="68" t="s">
        <v>328</v>
      </c>
      <c r="D293" s="28" t="s">
        <v>453</v>
      </c>
      <c r="E293" s="3"/>
      <c r="F293" s="69"/>
      <c r="G293" s="3"/>
      <c r="H293" s="3"/>
      <c r="I293" s="3"/>
      <c r="J293" s="3"/>
      <c r="K293" s="3"/>
      <c r="L293" s="3"/>
      <c r="M293" s="3"/>
      <c r="N293" s="3">
        <f t="shared" si="11"/>
        <v>55.78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13">
        <f t="shared" si="8"/>
        <v>55.78</v>
      </c>
      <c r="AA293" s="38"/>
      <c r="AB293" s="22">
        <f t="shared" si="9"/>
        <v>2.073600551968824E-3</v>
      </c>
    </row>
    <row r="294" spans="2:28" hidden="1" x14ac:dyDescent="0.25">
      <c r="B294" s="41"/>
      <c r="C294" s="68" t="s">
        <v>329</v>
      </c>
      <c r="D294" s="28" t="s">
        <v>453</v>
      </c>
      <c r="E294" s="3"/>
      <c r="F294" s="69"/>
      <c r="G294" s="3"/>
      <c r="H294" s="3"/>
      <c r="I294" s="3"/>
      <c r="J294" s="3"/>
      <c r="K294" s="3"/>
      <c r="L294" s="3"/>
      <c r="M294" s="3"/>
      <c r="N294" s="3">
        <f t="shared" si="11"/>
        <v>88.45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13">
        <f t="shared" si="8"/>
        <v>88.45</v>
      </c>
      <c r="AA294" s="38"/>
      <c r="AB294" s="22">
        <f t="shared" si="9"/>
        <v>3.2880955328369035E-3</v>
      </c>
    </row>
    <row r="295" spans="2:28" hidden="1" x14ac:dyDescent="0.25">
      <c r="B295" s="41"/>
      <c r="C295" s="68" t="s">
        <v>330</v>
      </c>
      <c r="D295" s="28" t="s">
        <v>453</v>
      </c>
      <c r="E295" s="3"/>
      <c r="F295" s="69"/>
      <c r="G295" s="3"/>
      <c r="H295" s="3"/>
      <c r="I295" s="3"/>
      <c r="J295" s="3"/>
      <c r="K295" s="3"/>
      <c r="L295" s="3"/>
      <c r="M295" s="3"/>
      <c r="N295" s="3">
        <f t="shared" si="11"/>
        <v>57.6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13">
        <f t="shared" si="8"/>
        <v>57.6</v>
      </c>
      <c r="AA295" s="38"/>
      <c r="AB295" s="22">
        <f t="shared" si="9"/>
        <v>2.141258368472647E-3</v>
      </c>
    </row>
    <row r="296" spans="2:28" hidden="1" x14ac:dyDescent="0.25">
      <c r="B296" s="41"/>
      <c r="C296" s="68" t="s">
        <v>331</v>
      </c>
      <c r="D296" s="28" t="s">
        <v>453</v>
      </c>
      <c r="E296" s="3"/>
      <c r="F296" s="69"/>
      <c r="G296" s="3"/>
      <c r="H296" s="3"/>
      <c r="I296" s="3"/>
      <c r="J296" s="3"/>
      <c r="K296" s="3"/>
      <c r="L296" s="3"/>
      <c r="M296" s="3"/>
      <c r="N296" s="3">
        <f t="shared" si="11"/>
        <v>56.96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13">
        <f t="shared" si="8"/>
        <v>56.96</v>
      </c>
      <c r="AA296" s="38"/>
      <c r="AB296" s="22">
        <f t="shared" si="9"/>
        <v>2.117466608822951E-3</v>
      </c>
    </row>
    <row r="297" spans="2:28" hidden="1" x14ac:dyDescent="0.25">
      <c r="B297" s="41"/>
      <c r="C297" s="68" t="s">
        <v>332</v>
      </c>
      <c r="D297" s="28" t="s">
        <v>453</v>
      </c>
      <c r="E297" s="3"/>
      <c r="F297" s="69"/>
      <c r="G297" s="3"/>
      <c r="H297" s="3"/>
      <c r="I297" s="3"/>
      <c r="J297" s="3"/>
      <c r="K297" s="3"/>
      <c r="L297" s="3"/>
      <c r="M297" s="3"/>
      <c r="N297" s="3"/>
      <c r="O297" s="3">
        <f t="shared" ref="O297:O311" si="12">L252</f>
        <v>95.97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13">
        <f t="shared" si="8"/>
        <v>95.97</v>
      </c>
      <c r="AA297" s="38"/>
      <c r="AB297" s="22">
        <f t="shared" si="9"/>
        <v>3.5676487087208321E-3</v>
      </c>
    </row>
    <row r="298" spans="2:28" hidden="1" x14ac:dyDescent="0.25">
      <c r="B298" s="41"/>
      <c r="C298" s="68" t="s">
        <v>333</v>
      </c>
      <c r="D298" s="28" t="s">
        <v>453</v>
      </c>
      <c r="E298" s="3"/>
      <c r="F298" s="69"/>
      <c r="G298" s="3"/>
      <c r="H298" s="3"/>
      <c r="I298" s="3"/>
      <c r="J298" s="3"/>
      <c r="K298" s="3"/>
      <c r="L298" s="3"/>
      <c r="M298" s="3"/>
      <c r="N298" s="3"/>
      <c r="O298" s="3">
        <f t="shared" si="12"/>
        <v>93.95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13">
        <f t="shared" si="8"/>
        <v>93.95</v>
      </c>
      <c r="AA298" s="38"/>
      <c r="AB298" s="22">
        <f t="shared" si="9"/>
        <v>3.4925559673264794E-3</v>
      </c>
    </row>
    <row r="299" spans="2:28" hidden="1" x14ac:dyDescent="0.25">
      <c r="B299" s="41"/>
      <c r="C299" s="68" t="s">
        <v>334</v>
      </c>
      <c r="D299" s="28" t="s">
        <v>453</v>
      </c>
      <c r="E299" s="3"/>
      <c r="F299" s="69"/>
      <c r="G299" s="3"/>
      <c r="H299" s="3"/>
      <c r="I299" s="3"/>
      <c r="J299" s="3"/>
      <c r="K299" s="3"/>
      <c r="L299" s="3"/>
      <c r="M299" s="3"/>
      <c r="N299" s="3"/>
      <c r="O299" s="3">
        <f t="shared" si="12"/>
        <v>77.569999999999993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13">
        <f t="shared" si="8"/>
        <v>77.569999999999993</v>
      </c>
      <c r="AA299" s="38"/>
      <c r="AB299" s="22">
        <f t="shared" si="9"/>
        <v>2.8836356187920699E-3</v>
      </c>
    </row>
    <row r="300" spans="2:28" hidden="1" x14ac:dyDescent="0.25">
      <c r="B300" s="41"/>
      <c r="C300" s="68" t="s">
        <v>335</v>
      </c>
      <c r="D300" s="28" t="s">
        <v>453</v>
      </c>
      <c r="E300" s="3"/>
      <c r="F300" s="69"/>
      <c r="G300" s="3"/>
      <c r="H300" s="3"/>
      <c r="I300" s="3"/>
      <c r="J300" s="3"/>
      <c r="K300" s="3"/>
      <c r="L300" s="3"/>
      <c r="M300" s="3"/>
      <c r="N300" s="3"/>
      <c r="O300" s="3">
        <f t="shared" si="12"/>
        <v>78.17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13">
        <f t="shared" si="8"/>
        <v>78.17</v>
      </c>
      <c r="AA300" s="38"/>
      <c r="AB300" s="22">
        <f t="shared" si="9"/>
        <v>2.9059403934636602E-3</v>
      </c>
    </row>
    <row r="301" spans="2:28" hidden="1" x14ac:dyDescent="0.25">
      <c r="B301" s="41"/>
      <c r="C301" s="68" t="s">
        <v>336</v>
      </c>
      <c r="D301" s="28" t="s">
        <v>453</v>
      </c>
      <c r="E301" s="3"/>
      <c r="F301" s="69"/>
      <c r="G301" s="3"/>
      <c r="H301" s="3"/>
      <c r="I301" s="3"/>
      <c r="J301" s="3"/>
      <c r="K301" s="3"/>
      <c r="L301" s="3"/>
      <c r="M301" s="3"/>
      <c r="N301" s="3"/>
      <c r="O301" s="3">
        <f t="shared" si="12"/>
        <v>79.06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13">
        <f t="shared" si="8"/>
        <v>79.06</v>
      </c>
      <c r="AA301" s="38"/>
      <c r="AB301" s="22">
        <f t="shared" si="9"/>
        <v>2.9390258092265188E-3</v>
      </c>
    </row>
    <row r="302" spans="2:28" hidden="1" x14ac:dyDescent="0.25">
      <c r="B302" s="41"/>
      <c r="C302" s="68" t="s">
        <v>337</v>
      </c>
      <c r="D302" s="28" t="s">
        <v>453</v>
      </c>
      <c r="E302" s="3"/>
      <c r="F302" s="69"/>
      <c r="G302" s="3"/>
      <c r="H302" s="3"/>
      <c r="I302" s="3"/>
      <c r="J302" s="3"/>
      <c r="K302" s="3"/>
      <c r="L302" s="3"/>
      <c r="M302" s="3"/>
      <c r="N302" s="3"/>
      <c r="O302" s="3">
        <f t="shared" si="12"/>
        <v>50.82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13">
        <f t="shared" si="8"/>
        <v>50.82</v>
      </c>
      <c r="AA302" s="38"/>
      <c r="AB302" s="22">
        <f t="shared" si="9"/>
        <v>1.8892144146836793E-3</v>
      </c>
    </row>
    <row r="303" spans="2:28" hidden="1" x14ac:dyDescent="0.25">
      <c r="B303" s="41"/>
      <c r="C303" s="68" t="s">
        <v>338</v>
      </c>
      <c r="D303" s="28" t="s">
        <v>453</v>
      </c>
      <c r="E303" s="3"/>
      <c r="F303" s="69"/>
      <c r="G303" s="3"/>
      <c r="H303" s="3"/>
      <c r="I303" s="3"/>
      <c r="J303" s="3"/>
      <c r="K303" s="3"/>
      <c r="L303" s="3"/>
      <c r="M303" s="3"/>
      <c r="N303" s="3"/>
      <c r="O303" s="3">
        <f t="shared" si="12"/>
        <v>52.39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13">
        <f t="shared" si="8"/>
        <v>52.39</v>
      </c>
      <c r="AA303" s="38"/>
      <c r="AB303" s="22">
        <f t="shared" si="9"/>
        <v>1.9475785750743401E-3</v>
      </c>
    </row>
    <row r="304" spans="2:28" hidden="1" x14ac:dyDescent="0.25">
      <c r="B304" s="41"/>
      <c r="C304" s="68" t="s">
        <v>339</v>
      </c>
      <c r="D304" s="28" t="s">
        <v>453</v>
      </c>
      <c r="E304" s="3"/>
      <c r="F304" s="69"/>
      <c r="G304" s="3"/>
      <c r="H304" s="3"/>
      <c r="I304" s="3"/>
      <c r="J304" s="3"/>
      <c r="K304" s="3"/>
      <c r="L304" s="3"/>
      <c r="M304" s="3"/>
      <c r="N304" s="3"/>
      <c r="O304" s="3">
        <f t="shared" si="12"/>
        <v>53.6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13">
        <f t="shared" si="8"/>
        <v>53.6</v>
      </c>
      <c r="AA304" s="38"/>
      <c r="AB304" s="22">
        <f t="shared" si="9"/>
        <v>1.9925598706620469E-3</v>
      </c>
    </row>
    <row r="305" spans="2:28" hidden="1" x14ac:dyDescent="0.25">
      <c r="B305" s="41"/>
      <c r="C305" s="68" t="s">
        <v>340</v>
      </c>
      <c r="D305" s="28" t="s">
        <v>453</v>
      </c>
      <c r="E305" s="3"/>
      <c r="F305" s="69"/>
      <c r="G305" s="3"/>
      <c r="H305" s="3"/>
      <c r="I305" s="3"/>
      <c r="J305" s="3"/>
      <c r="K305" s="3"/>
      <c r="L305" s="3"/>
      <c r="M305" s="3"/>
      <c r="N305" s="3"/>
      <c r="O305" s="3">
        <f t="shared" si="12"/>
        <v>55.87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13">
        <f t="shared" si="8"/>
        <v>55.87</v>
      </c>
      <c r="AA305" s="38"/>
      <c r="AB305" s="22">
        <f t="shared" si="9"/>
        <v>2.0769462681695622E-3</v>
      </c>
    </row>
    <row r="306" spans="2:28" hidden="1" x14ac:dyDescent="0.25">
      <c r="B306" s="41"/>
      <c r="C306" s="68" t="s">
        <v>341</v>
      </c>
      <c r="D306" s="28" t="s">
        <v>453</v>
      </c>
      <c r="E306" s="3"/>
      <c r="F306" s="69"/>
      <c r="G306" s="3"/>
      <c r="H306" s="3"/>
      <c r="I306" s="3"/>
      <c r="J306" s="3"/>
      <c r="K306" s="3"/>
      <c r="L306" s="3"/>
      <c r="M306" s="3"/>
      <c r="N306" s="3"/>
      <c r="O306" s="3">
        <f t="shared" si="12"/>
        <v>50.95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13">
        <f t="shared" si="8"/>
        <v>50.95</v>
      </c>
      <c r="AA306" s="38"/>
      <c r="AB306" s="22">
        <f t="shared" si="9"/>
        <v>1.8940471158625238E-3</v>
      </c>
    </row>
    <row r="307" spans="2:28" hidden="1" x14ac:dyDescent="0.25">
      <c r="B307" s="41"/>
      <c r="C307" s="68" t="s">
        <v>342</v>
      </c>
      <c r="D307" s="28" t="s">
        <v>453</v>
      </c>
      <c r="E307" s="3"/>
      <c r="F307" s="69"/>
      <c r="G307" s="3"/>
      <c r="H307" s="3"/>
      <c r="I307" s="3"/>
      <c r="J307" s="3"/>
      <c r="K307" s="3"/>
      <c r="L307" s="3"/>
      <c r="M307" s="3"/>
      <c r="N307" s="3"/>
      <c r="O307" s="3">
        <f t="shared" si="12"/>
        <v>48.87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13">
        <f t="shared" si="8"/>
        <v>48.87</v>
      </c>
      <c r="AA307" s="38"/>
      <c r="AB307" s="22">
        <f t="shared" si="9"/>
        <v>1.8167238970010114E-3</v>
      </c>
    </row>
    <row r="308" spans="2:28" hidden="1" x14ac:dyDescent="0.25">
      <c r="B308" s="41"/>
      <c r="C308" s="68" t="s">
        <v>343</v>
      </c>
      <c r="D308" s="28" t="s">
        <v>453</v>
      </c>
      <c r="E308" s="3"/>
      <c r="F308" s="69"/>
      <c r="G308" s="3"/>
      <c r="H308" s="3"/>
      <c r="I308" s="3"/>
      <c r="J308" s="3"/>
      <c r="K308" s="3"/>
      <c r="L308" s="3"/>
      <c r="M308" s="3"/>
      <c r="N308" s="3"/>
      <c r="O308" s="3">
        <f t="shared" si="12"/>
        <v>55.78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3">
        <f t="shared" ref="Z308:Z367" si="13">SUM(E308:Y308)</f>
        <v>55.78</v>
      </c>
      <c r="AA308" s="38"/>
      <c r="AB308" s="22">
        <f t="shared" si="9"/>
        <v>2.073600551968824E-3</v>
      </c>
    </row>
    <row r="309" spans="2:28" hidden="1" x14ac:dyDescent="0.25">
      <c r="B309" s="41"/>
      <c r="C309" s="68" t="s">
        <v>344</v>
      </c>
      <c r="D309" s="28" t="s">
        <v>453</v>
      </c>
      <c r="E309" s="3"/>
      <c r="F309" s="69"/>
      <c r="G309" s="3"/>
      <c r="H309" s="3"/>
      <c r="I309" s="3"/>
      <c r="J309" s="3"/>
      <c r="K309" s="3"/>
      <c r="L309" s="3"/>
      <c r="M309" s="3"/>
      <c r="N309" s="3"/>
      <c r="O309" s="3">
        <f t="shared" si="12"/>
        <v>88.45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13">
        <f t="shared" si="13"/>
        <v>88.45</v>
      </c>
      <c r="AA309" s="38"/>
      <c r="AB309" s="22">
        <f t="shared" si="9"/>
        <v>3.2880955328369035E-3</v>
      </c>
    </row>
    <row r="310" spans="2:28" hidden="1" x14ac:dyDescent="0.25">
      <c r="B310" s="41"/>
      <c r="C310" s="68" t="s">
        <v>345</v>
      </c>
      <c r="D310" s="28" t="s">
        <v>453</v>
      </c>
      <c r="E310" s="3"/>
      <c r="F310" s="69"/>
      <c r="G310" s="3"/>
      <c r="H310" s="3"/>
      <c r="I310" s="3"/>
      <c r="J310" s="3"/>
      <c r="K310" s="3"/>
      <c r="L310" s="3"/>
      <c r="M310" s="3"/>
      <c r="N310" s="3"/>
      <c r="O310" s="3">
        <f t="shared" si="12"/>
        <v>57.6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13">
        <f t="shared" si="13"/>
        <v>57.6</v>
      </c>
      <c r="AA310" s="38"/>
      <c r="AB310" s="22">
        <f t="shared" si="9"/>
        <v>2.141258368472647E-3</v>
      </c>
    </row>
    <row r="311" spans="2:28" hidden="1" x14ac:dyDescent="0.25">
      <c r="B311" s="41"/>
      <c r="C311" s="68" t="s">
        <v>346</v>
      </c>
      <c r="D311" s="28" t="s">
        <v>453</v>
      </c>
      <c r="E311" s="3"/>
      <c r="F311" s="69"/>
      <c r="G311" s="3"/>
      <c r="H311" s="3"/>
      <c r="I311" s="3"/>
      <c r="J311" s="3"/>
      <c r="K311" s="3"/>
      <c r="L311" s="3"/>
      <c r="M311" s="3"/>
      <c r="N311" s="3"/>
      <c r="O311" s="3">
        <f t="shared" si="12"/>
        <v>56.96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13">
        <f t="shared" si="13"/>
        <v>56.96</v>
      </c>
      <c r="AA311" s="38"/>
      <c r="AB311" s="22">
        <f t="shared" si="9"/>
        <v>2.117466608822951E-3</v>
      </c>
    </row>
    <row r="312" spans="2:28" hidden="1" x14ac:dyDescent="0.25">
      <c r="B312" s="41"/>
      <c r="C312" s="68" t="s">
        <v>347</v>
      </c>
      <c r="D312" s="28" t="s">
        <v>453</v>
      </c>
      <c r="E312" s="3"/>
      <c r="F312" s="69"/>
      <c r="G312" s="3"/>
      <c r="H312" s="3"/>
      <c r="I312" s="3"/>
      <c r="J312" s="3"/>
      <c r="K312" s="3"/>
      <c r="L312" s="3"/>
      <c r="M312" s="3"/>
      <c r="N312" s="3"/>
      <c r="O312" s="3"/>
      <c r="P312" s="3">
        <f t="shared" ref="P312:P326" si="14">L252</f>
        <v>95.97</v>
      </c>
      <c r="Q312" s="3"/>
      <c r="R312" s="3"/>
      <c r="S312" s="3"/>
      <c r="T312" s="3"/>
      <c r="U312" s="3"/>
      <c r="V312" s="3"/>
      <c r="W312" s="3"/>
      <c r="X312" s="3"/>
      <c r="Y312" s="3"/>
      <c r="Z312" s="13">
        <f t="shared" si="13"/>
        <v>95.97</v>
      </c>
      <c r="AA312" s="38"/>
      <c r="AB312" s="22">
        <f t="shared" si="9"/>
        <v>3.5676487087208321E-3</v>
      </c>
    </row>
    <row r="313" spans="2:28" hidden="1" x14ac:dyDescent="0.25">
      <c r="B313" s="41"/>
      <c r="C313" s="68" t="s">
        <v>348</v>
      </c>
      <c r="D313" s="28" t="s">
        <v>453</v>
      </c>
      <c r="E313" s="3"/>
      <c r="F313" s="69"/>
      <c r="G313" s="3"/>
      <c r="H313" s="3"/>
      <c r="I313" s="3"/>
      <c r="J313" s="3"/>
      <c r="K313" s="3"/>
      <c r="L313" s="3"/>
      <c r="M313" s="3"/>
      <c r="N313" s="3"/>
      <c r="O313" s="3"/>
      <c r="P313" s="3">
        <f t="shared" si="14"/>
        <v>93.95</v>
      </c>
      <c r="Q313" s="3"/>
      <c r="R313" s="3"/>
      <c r="S313" s="3"/>
      <c r="T313" s="3"/>
      <c r="U313" s="3"/>
      <c r="V313" s="3"/>
      <c r="W313" s="3"/>
      <c r="X313" s="3"/>
      <c r="Y313" s="3"/>
      <c r="Z313" s="13">
        <f t="shared" si="13"/>
        <v>93.95</v>
      </c>
      <c r="AA313" s="38"/>
      <c r="AB313" s="22">
        <f t="shared" si="9"/>
        <v>3.4925559673264794E-3</v>
      </c>
    </row>
    <row r="314" spans="2:28" hidden="1" x14ac:dyDescent="0.25">
      <c r="B314" s="41"/>
      <c r="C314" s="68" t="s">
        <v>349</v>
      </c>
      <c r="D314" s="28" t="s">
        <v>453</v>
      </c>
      <c r="E314" s="3"/>
      <c r="F314" s="69"/>
      <c r="G314" s="3"/>
      <c r="H314" s="3"/>
      <c r="I314" s="3"/>
      <c r="J314" s="3"/>
      <c r="K314" s="3"/>
      <c r="L314" s="3"/>
      <c r="M314" s="3"/>
      <c r="N314" s="3"/>
      <c r="O314" s="3"/>
      <c r="P314" s="3">
        <f t="shared" si="14"/>
        <v>77.569999999999993</v>
      </c>
      <c r="Q314" s="3"/>
      <c r="R314" s="3"/>
      <c r="S314" s="3"/>
      <c r="T314" s="3"/>
      <c r="U314" s="3"/>
      <c r="V314" s="3"/>
      <c r="W314" s="3"/>
      <c r="X314" s="3"/>
      <c r="Y314" s="3"/>
      <c r="Z314" s="13">
        <f t="shared" si="13"/>
        <v>77.569999999999993</v>
      </c>
      <c r="AA314" s="38"/>
      <c r="AB314" s="22">
        <f t="shared" si="9"/>
        <v>2.8836356187920699E-3</v>
      </c>
    </row>
    <row r="315" spans="2:28" hidden="1" x14ac:dyDescent="0.25">
      <c r="B315" s="41"/>
      <c r="C315" s="68" t="s">
        <v>350</v>
      </c>
      <c r="D315" s="28" t="s">
        <v>453</v>
      </c>
      <c r="E315" s="3"/>
      <c r="F315" s="69"/>
      <c r="G315" s="3"/>
      <c r="H315" s="3"/>
      <c r="I315" s="3"/>
      <c r="J315" s="3"/>
      <c r="K315" s="3"/>
      <c r="L315" s="3"/>
      <c r="M315" s="3"/>
      <c r="N315" s="3"/>
      <c r="O315" s="3"/>
      <c r="P315" s="3">
        <f t="shared" si="14"/>
        <v>78.17</v>
      </c>
      <c r="Q315" s="3"/>
      <c r="R315" s="3"/>
      <c r="S315" s="3"/>
      <c r="T315" s="3"/>
      <c r="U315" s="3"/>
      <c r="V315" s="3"/>
      <c r="W315" s="3"/>
      <c r="X315" s="3"/>
      <c r="Y315" s="3"/>
      <c r="Z315" s="13">
        <f t="shared" si="13"/>
        <v>78.17</v>
      </c>
      <c r="AA315" s="38"/>
      <c r="AB315" s="22">
        <f t="shared" si="9"/>
        <v>2.9059403934636602E-3</v>
      </c>
    </row>
    <row r="316" spans="2:28" hidden="1" x14ac:dyDescent="0.25">
      <c r="B316" s="41"/>
      <c r="C316" s="68" t="s">
        <v>351</v>
      </c>
      <c r="D316" s="28" t="s">
        <v>453</v>
      </c>
      <c r="E316" s="3"/>
      <c r="F316" s="69"/>
      <c r="G316" s="3"/>
      <c r="H316" s="3"/>
      <c r="I316" s="3"/>
      <c r="J316" s="3"/>
      <c r="K316" s="3"/>
      <c r="L316" s="3"/>
      <c r="M316" s="3"/>
      <c r="N316" s="3"/>
      <c r="O316" s="3"/>
      <c r="P316" s="3">
        <f t="shared" si="14"/>
        <v>79.06</v>
      </c>
      <c r="Q316" s="3"/>
      <c r="R316" s="3"/>
      <c r="S316" s="3"/>
      <c r="T316" s="3"/>
      <c r="U316" s="3"/>
      <c r="V316" s="3"/>
      <c r="W316" s="3"/>
      <c r="X316" s="3"/>
      <c r="Y316" s="3"/>
      <c r="Z316" s="13">
        <f t="shared" si="13"/>
        <v>79.06</v>
      </c>
      <c r="AA316" s="38"/>
      <c r="AB316" s="22">
        <f t="shared" si="9"/>
        <v>2.9390258092265188E-3</v>
      </c>
    </row>
    <row r="317" spans="2:28" hidden="1" x14ac:dyDescent="0.25">
      <c r="B317" s="41"/>
      <c r="C317" s="68" t="s">
        <v>352</v>
      </c>
      <c r="D317" s="28" t="s">
        <v>453</v>
      </c>
      <c r="E317" s="3"/>
      <c r="F317" s="69"/>
      <c r="G317" s="3"/>
      <c r="H317" s="3"/>
      <c r="I317" s="3"/>
      <c r="J317" s="3"/>
      <c r="K317" s="3"/>
      <c r="L317" s="3"/>
      <c r="M317" s="3"/>
      <c r="N317" s="3"/>
      <c r="O317" s="3"/>
      <c r="P317" s="3">
        <f t="shared" si="14"/>
        <v>50.82</v>
      </c>
      <c r="Q317" s="3"/>
      <c r="R317" s="3"/>
      <c r="S317" s="3"/>
      <c r="T317" s="3"/>
      <c r="U317" s="3"/>
      <c r="V317" s="3"/>
      <c r="W317" s="3"/>
      <c r="X317" s="3"/>
      <c r="Y317" s="3"/>
      <c r="Z317" s="13">
        <f t="shared" si="13"/>
        <v>50.82</v>
      </c>
      <c r="AA317" s="38"/>
      <c r="AB317" s="22">
        <f t="shared" si="9"/>
        <v>1.8892144146836793E-3</v>
      </c>
    </row>
    <row r="318" spans="2:28" hidden="1" x14ac:dyDescent="0.25">
      <c r="B318" s="41"/>
      <c r="C318" s="68" t="s">
        <v>353</v>
      </c>
      <c r="D318" s="28" t="s">
        <v>453</v>
      </c>
      <c r="E318" s="3"/>
      <c r="F318" s="69"/>
      <c r="G318" s="3"/>
      <c r="H318" s="3"/>
      <c r="I318" s="3"/>
      <c r="J318" s="3"/>
      <c r="K318" s="3"/>
      <c r="L318" s="3"/>
      <c r="M318" s="3"/>
      <c r="N318" s="3"/>
      <c r="O318" s="3"/>
      <c r="P318" s="3">
        <f t="shared" si="14"/>
        <v>52.39</v>
      </c>
      <c r="Q318" s="3"/>
      <c r="R318" s="3"/>
      <c r="S318" s="3"/>
      <c r="T318" s="3"/>
      <c r="U318" s="3"/>
      <c r="V318" s="3"/>
      <c r="W318" s="3"/>
      <c r="X318" s="3"/>
      <c r="Y318" s="3"/>
      <c r="Z318" s="13">
        <f t="shared" si="13"/>
        <v>52.39</v>
      </c>
      <c r="AA318" s="38"/>
      <c r="AB318" s="22">
        <f t="shared" si="9"/>
        <v>1.9475785750743401E-3</v>
      </c>
    </row>
    <row r="319" spans="2:28" hidden="1" x14ac:dyDescent="0.25">
      <c r="B319" s="41"/>
      <c r="C319" s="68" t="s">
        <v>354</v>
      </c>
      <c r="D319" s="28" t="s">
        <v>453</v>
      </c>
      <c r="E319" s="3"/>
      <c r="F319" s="69"/>
      <c r="G319" s="3"/>
      <c r="H319" s="3"/>
      <c r="I319" s="3"/>
      <c r="J319" s="3"/>
      <c r="K319" s="3"/>
      <c r="L319" s="3"/>
      <c r="M319" s="3"/>
      <c r="N319" s="3"/>
      <c r="O319" s="3"/>
      <c r="P319" s="3">
        <f t="shared" si="14"/>
        <v>53.6</v>
      </c>
      <c r="Q319" s="3"/>
      <c r="R319" s="3"/>
      <c r="S319" s="3"/>
      <c r="T319" s="3"/>
      <c r="U319" s="3"/>
      <c r="V319" s="3"/>
      <c r="W319" s="3"/>
      <c r="X319" s="3"/>
      <c r="Y319" s="3"/>
      <c r="Z319" s="13">
        <f t="shared" si="13"/>
        <v>53.6</v>
      </c>
      <c r="AA319" s="38"/>
      <c r="AB319" s="22">
        <f t="shared" si="9"/>
        <v>1.9925598706620469E-3</v>
      </c>
    </row>
    <row r="320" spans="2:28" hidden="1" x14ac:dyDescent="0.25">
      <c r="B320" s="41"/>
      <c r="C320" s="68" t="s">
        <v>355</v>
      </c>
      <c r="D320" s="28" t="s">
        <v>453</v>
      </c>
      <c r="E320" s="3"/>
      <c r="F320" s="69"/>
      <c r="G320" s="3"/>
      <c r="H320" s="3"/>
      <c r="I320" s="3"/>
      <c r="J320" s="3"/>
      <c r="K320" s="3"/>
      <c r="L320" s="3"/>
      <c r="M320" s="3"/>
      <c r="N320" s="3"/>
      <c r="O320" s="3"/>
      <c r="P320" s="3">
        <f t="shared" si="14"/>
        <v>55.87</v>
      </c>
      <c r="Q320" s="3"/>
      <c r="R320" s="3"/>
      <c r="S320" s="3"/>
      <c r="T320" s="3"/>
      <c r="U320" s="3"/>
      <c r="V320" s="3"/>
      <c r="W320" s="3"/>
      <c r="X320" s="3"/>
      <c r="Y320" s="3"/>
      <c r="Z320" s="13">
        <f t="shared" si="13"/>
        <v>55.87</v>
      </c>
      <c r="AA320" s="38"/>
      <c r="AB320" s="22">
        <f t="shared" si="9"/>
        <v>2.0769462681695622E-3</v>
      </c>
    </row>
    <row r="321" spans="2:28" hidden="1" x14ac:dyDescent="0.25">
      <c r="B321" s="41"/>
      <c r="C321" s="68" t="s">
        <v>356</v>
      </c>
      <c r="D321" s="28" t="s">
        <v>453</v>
      </c>
      <c r="E321" s="3"/>
      <c r="F321" s="69"/>
      <c r="G321" s="3"/>
      <c r="H321" s="3"/>
      <c r="I321" s="3"/>
      <c r="J321" s="3"/>
      <c r="K321" s="3"/>
      <c r="L321" s="3"/>
      <c r="M321" s="3"/>
      <c r="N321" s="3"/>
      <c r="O321" s="3"/>
      <c r="P321" s="3">
        <f t="shared" si="14"/>
        <v>50.95</v>
      </c>
      <c r="Q321" s="3"/>
      <c r="R321" s="3"/>
      <c r="S321" s="3"/>
      <c r="T321" s="3"/>
      <c r="U321" s="3"/>
      <c r="V321" s="3"/>
      <c r="W321" s="3"/>
      <c r="X321" s="3"/>
      <c r="Y321" s="3"/>
      <c r="Z321" s="13">
        <f t="shared" si="13"/>
        <v>50.95</v>
      </c>
      <c r="AA321" s="38"/>
      <c r="AB321" s="22">
        <f t="shared" si="9"/>
        <v>1.8940471158625238E-3</v>
      </c>
    </row>
    <row r="322" spans="2:28" hidden="1" x14ac:dyDescent="0.25">
      <c r="B322" s="41"/>
      <c r="C322" s="68" t="s">
        <v>357</v>
      </c>
      <c r="D322" s="28" t="s">
        <v>453</v>
      </c>
      <c r="E322" s="3"/>
      <c r="F322" s="69"/>
      <c r="G322" s="3"/>
      <c r="H322" s="3"/>
      <c r="I322" s="3"/>
      <c r="J322" s="3"/>
      <c r="K322" s="3"/>
      <c r="L322" s="3"/>
      <c r="M322" s="3"/>
      <c r="N322" s="3"/>
      <c r="O322" s="3"/>
      <c r="P322" s="3">
        <f t="shared" si="14"/>
        <v>48.87</v>
      </c>
      <c r="Q322" s="3"/>
      <c r="R322" s="3"/>
      <c r="S322" s="3"/>
      <c r="T322" s="3"/>
      <c r="U322" s="3"/>
      <c r="V322" s="3"/>
      <c r="W322" s="3"/>
      <c r="X322" s="3"/>
      <c r="Y322" s="3"/>
      <c r="Z322" s="13">
        <f t="shared" si="13"/>
        <v>48.87</v>
      </c>
      <c r="AA322" s="38"/>
      <c r="AB322" s="22">
        <f t="shared" si="9"/>
        <v>1.8167238970010114E-3</v>
      </c>
    </row>
    <row r="323" spans="2:28" hidden="1" x14ac:dyDescent="0.25">
      <c r="B323" s="41"/>
      <c r="C323" s="68" t="s">
        <v>358</v>
      </c>
      <c r="D323" s="28" t="s">
        <v>453</v>
      </c>
      <c r="E323" s="3"/>
      <c r="F323" s="69"/>
      <c r="G323" s="3"/>
      <c r="H323" s="3"/>
      <c r="I323" s="3"/>
      <c r="J323" s="3"/>
      <c r="K323" s="3"/>
      <c r="L323" s="3"/>
      <c r="M323" s="3"/>
      <c r="N323" s="3"/>
      <c r="O323" s="3"/>
      <c r="P323" s="3">
        <f t="shared" si="14"/>
        <v>55.78</v>
      </c>
      <c r="Q323" s="3"/>
      <c r="R323" s="3"/>
      <c r="S323" s="3"/>
      <c r="T323" s="3"/>
      <c r="U323" s="3"/>
      <c r="V323" s="3"/>
      <c r="W323" s="3"/>
      <c r="X323" s="3"/>
      <c r="Y323" s="3"/>
      <c r="Z323" s="13">
        <f t="shared" si="13"/>
        <v>55.78</v>
      </c>
      <c r="AA323" s="38"/>
      <c r="AB323" s="22">
        <f t="shared" si="9"/>
        <v>2.073600551968824E-3</v>
      </c>
    </row>
    <row r="324" spans="2:28" hidden="1" x14ac:dyDescent="0.25">
      <c r="B324" s="41"/>
      <c r="C324" s="68" t="s">
        <v>359</v>
      </c>
      <c r="D324" s="28" t="s">
        <v>453</v>
      </c>
      <c r="E324" s="3"/>
      <c r="F324" s="69"/>
      <c r="G324" s="3"/>
      <c r="H324" s="3"/>
      <c r="I324" s="3"/>
      <c r="J324" s="3"/>
      <c r="K324" s="3"/>
      <c r="L324" s="3"/>
      <c r="M324" s="3"/>
      <c r="N324" s="3"/>
      <c r="O324" s="3"/>
      <c r="P324" s="3">
        <f t="shared" si="14"/>
        <v>88.45</v>
      </c>
      <c r="Q324" s="3"/>
      <c r="R324" s="3"/>
      <c r="S324" s="3"/>
      <c r="T324" s="3"/>
      <c r="U324" s="3"/>
      <c r="V324" s="3"/>
      <c r="W324" s="3"/>
      <c r="X324" s="3"/>
      <c r="Y324" s="3"/>
      <c r="Z324" s="13">
        <f t="shared" si="13"/>
        <v>88.45</v>
      </c>
      <c r="AA324" s="38"/>
      <c r="AB324" s="22">
        <f t="shared" si="9"/>
        <v>3.2880955328369035E-3</v>
      </c>
    </row>
    <row r="325" spans="2:28" hidden="1" x14ac:dyDescent="0.25">
      <c r="B325" s="41"/>
      <c r="C325" s="68" t="s">
        <v>360</v>
      </c>
      <c r="D325" s="28" t="s">
        <v>453</v>
      </c>
      <c r="E325" s="3"/>
      <c r="F325" s="69"/>
      <c r="G325" s="3"/>
      <c r="H325" s="3"/>
      <c r="I325" s="3"/>
      <c r="J325" s="3"/>
      <c r="K325" s="3"/>
      <c r="L325" s="3"/>
      <c r="M325" s="3"/>
      <c r="N325" s="3"/>
      <c r="O325" s="3"/>
      <c r="P325" s="3">
        <f t="shared" si="14"/>
        <v>57.6</v>
      </c>
      <c r="Q325" s="3"/>
      <c r="R325" s="3"/>
      <c r="S325" s="3"/>
      <c r="T325" s="3"/>
      <c r="U325" s="3"/>
      <c r="V325" s="3"/>
      <c r="W325" s="3"/>
      <c r="X325" s="3"/>
      <c r="Y325" s="3"/>
      <c r="Z325" s="13">
        <f t="shared" si="13"/>
        <v>57.6</v>
      </c>
      <c r="AA325" s="38"/>
      <c r="AB325" s="22">
        <f t="shared" si="9"/>
        <v>2.141258368472647E-3</v>
      </c>
    </row>
    <row r="326" spans="2:28" hidden="1" x14ac:dyDescent="0.25">
      <c r="B326" s="41"/>
      <c r="C326" s="68" t="s">
        <v>361</v>
      </c>
      <c r="D326" s="28" t="s">
        <v>453</v>
      </c>
      <c r="E326" s="3"/>
      <c r="F326" s="69"/>
      <c r="G326" s="3"/>
      <c r="H326" s="3"/>
      <c r="I326" s="3"/>
      <c r="J326" s="3"/>
      <c r="K326" s="3"/>
      <c r="L326" s="3"/>
      <c r="M326" s="3"/>
      <c r="N326" s="3"/>
      <c r="O326" s="3"/>
      <c r="P326" s="3">
        <f t="shared" si="14"/>
        <v>56.96</v>
      </c>
      <c r="Q326" s="3"/>
      <c r="R326" s="3"/>
      <c r="S326" s="3"/>
      <c r="T326" s="3"/>
      <c r="U326" s="3"/>
      <c r="V326" s="3"/>
      <c r="W326" s="3"/>
      <c r="X326" s="3"/>
      <c r="Y326" s="3"/>
      <c r="Z326" s="13">
        <f t="shared" si="13"/>
        <v>56.96</v>
      </c>
      <c r="AA326" s="38"/>
      <c r="AB326" s="22">
        <f t="shared" ref="AB326:AB389" si="15">+Z326/$AA$877</f>
        <v>2.117466608822951E-3</v>
      </c>
    </row>
    <row r="327" spans="2:28" hidden="1" x14ac:dyDescent="0.25">
      <c r="B327" s="41"/>
      <c r="C327" s="68" t="s">
        <v>362</v>
      </c>
      <c r="D327" s="28" t="s">
        <v>453</v>
      </c>
      <c r="E327" s="3"/>
      <c r="F327" s="6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>
        <f t="shared" ref="Q327:Q341" si="16">L252</f>
        <v>95.97</v>
      </c>
      <c r="R327" s="3"/>
      <c r="S327" s="3"/>
      <c r="T327" s="3"/>
      <c r="U327" s="3"/>
      <c r="V327" s="3"/>
      <c r="W327" s="3"/>
      <c r="X327" s="3"/>
      <c r="Y327" s="3"/>
      <c r="Z327" s="13">
        <f t="shared" si="13"/>
        <v>95.97</v>
      </c>
      <c r="AA327" s="38"/>
      <c r="AB327" s="22">
        <f t="shared" si="15"/>
        <v>3.5676487087208321E-3</v>
      </c>
    </row>
    <row r="328" spans="2:28" hidden="1" x14ac:dyDescent="0.25">
      <c r="B328" s="41"/>
      <c r="C328" s="68" t="s">
        <v>363</v>
      </c>
      <c r="D328" s="28" t="s">
        <v>453</v>
      </c>
      <c r="E328" s="3"/>
      <c r="F328" s="6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>
        <f t="shared" si="16"/>
        <v>93.95</v>
      </c>
      <c r="R328" s="3"/>
      <c r="S328" s="3"/>
      <c r="T328" s="3"/>
      <c r="U328" s="3"/>
      <c r="V328" s="3"/>
      <c r="W328" s="3"/>
      <c r="X328" s="3"/>
      <c r="Y328" s="3"/>
      <c r="Z328" s="13">
        <f t="shared" si="13"/>
        <v>93.95</v>
      </c>
      <c r="AA328" s="38"/>
      <c r="AB328" s="22">
        <f t="shared" si="15"/>
        <v>3.4925559673264794E-3</v>
      </c>
    </row>
    <row r="329" spans="2:28" hidden="1" x14ac:dyDescent="0.25">
      <c r="B329" s="41"/>
      <c r="C329" s="68" t="s">
        <v>364</v>
      </c>
      <c r="D329" s="28" t="s">
        <v>453</v>
      </c>
      <c r="E329" s="3"/>
      <c r="F329" s="6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>
        <f t="shared" si="16"/>
        <v>77.569999999999993</v>
      </c>
      <c r="R329" s="3"/>
      <c r="S329" s="3"/>
      <c r="T329" s="3"/>
      <c r="U329" s="3"/>
      <c r="V329" s="3"/>
      <c r="W329" s="3"/>
      <c r="X329" s="3"/>
      <c r="Y329" s="3"/>
      <c r="Z329" s="13">
        <f t="shared" si="13"/>
        <v>77.569999999999993</v>
      </c>
      <c r="AA329" s="38"/>
      <c r="AB329" s="22">
        <f t="shared" si="15"/>
        <v>2.8836356187920699E-3</v>
      </c>
    </row>
    <row r="330" spans="2:28" hidden="1" x14ac:dyDescent="0.25">
      <c r="B330" s="41"/>
      <c r="C330" s="68" t="s">
        <v>365</v>
      </c>
      <c r="D330" s="28" t="s">
        <v>453</v>
      </c>
      <c r="E330" s="3"/>
      <c r="F330" s="6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>
        <f t="shared" si="16"/>
        <v>78.17</v>
      </c>
      <c r="R330" s="3"/>
      <c r="S330" s="3"/>
      <c r="T330" s="3"/>
      <c r="U330" s="3"/>
      <c r="V330" s="3"/>
      <c r="W330" s="3"/>
      <c r="X330" s="3"/>
      <c r="Y330" s="3"/>
      <c r="Z330" s="13">
        <f t="shared" si="13"/>
        <v>78.17</v>
      </c>
      <c r="AA330" s="38"/>
      <c r="AB330" s="22">
        <f t="shared" si="15"/>
        <v>2.9059403934636602E-3</v>
      </c>
    </row>
    <row r="331" spans="2:28" hidden="1" x14ac:dyDescent="0.25">
      <c r="B331" s="41"/>
      <c r="C331" s="68" t="s">
        <v>366</v>
      </c>
      <c r="D331" s="28" t="s">
        <v>453</v>
      </c>
      <c r="E331" s="3"/>
      <c r="F331" s="6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>
        <f t="shared" si="16"/>
        <v>79.06</v>
      </c>
      <c r="R331" s="3"/>
      <c r="S331" s="3"/>
      <c r="T331" s="3"/>
      <c r="U331" s="3"/>
      <c r="V331" s="3"/>
      <c r="W331" s="3"/>
      <c r="X331" s="3"/>
      <c r="Y331" s="3"/>
      <c r="Z331" s="13">
        <f t="shared" si="13"/>
        <v>79.06</v>
      </c>
      <c r="AA331" s="38"/>
      <c r="AB331" s="22">
        <f t="shared" si="15"/>
        <v>2.9390258092265188E-3</v>
      </c>
    </row>
    <row r="332" spans="2:28" hidden="1" x14ac:dyDescent="0.25">
      <c r="B332" s="41"/>
      <c r="C332" s="68" t="s">
        <v>367</v>
      </c>
      <c r="D332" s="28" t="s">
        <v>453</v>
      </c>
      <c r="E332" s="3"/>
      <c r="F332" s="6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>
        <f t="shared" si="16"/>
        <v>50.82</v>
      </c>
      <c r="R332" s="3"/>
      <c r="S332" s="3"/>
      <c r="T332" s="3"/>
      <c r="U332" s="3"/>
      <c r="V332" s="3"/>
      <c r="W332" s="3"/>
      <c r="X332" s="3"/>
      <c r="Y332" s="3"/>
      <c r="Z332" s="13">
        <f t="shared" si="13"/>
        <v>50.82</v>
      </c>
      <c r="AA332" s="38"/>
      <c r="AB332" s="22">
        <f t="shared" si="15"/>
        <v>1.8892144146836793E-3</v>
      </c>
    </row>
    <row r="333" spans="2:28" hidden="1" x14ac:dyDescent="0.25">
      <c r="B333" s="41"/>
      <c r="C333" s="68" t="s">
        <v>368</v>
      </c>
      <c r="D333" s="28" t="s">
        <v>453</v>
      </c>
      <c r="E333" s="3"/>
      <c r="F333" s="6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>
        <f t="shared" si="16"/>
        <v>52.39</v>
      </c>
      <c r="R333" s="3"/>
      <c r="S333" s="3"/>
      <c r="T333" s="3"/>
      <c r="U333" s="3"/>
      <c r="V333" s="3"/>
      <c r="W333" s="3"/>
      <c r="X333" s="3"/>
      <c r="Y333" s="3"/>
      <c r="Z333" s="13">
        <f t="shared" si="13"/>
        <v>52.39</v>
      </c>
      <c r="AA333" s="38"/>
      <c r="AB333" s="22">
        <f t="shared" si="15"/>
        <v>1.9475785750743401E-3</v>
      </c>
    </row>
    <row r="334" spans="2:28" hidden="1" x14ac:dyDescent="0.25">
      <c r="B334" s="41"/>
      <c r="C334" s="68" t="s">
        <v>369</v>
      </c>
      <c r="D334" s="28" t="s">
        <v>453</v>
      </c>
      <c r="E334" s="3"/>
      <c r="F334" s="6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>
        <f t="shared" si="16"/>
        <v>53.6</v>
      </c>
      <c r="R334" s="3"/>
      <c r="S334" s="3"/>
      <c r="T334" s="3"/>
      <c r="U334" s="3"/>
      <c r="V334" s="3"/>
      <c r="W334" s="3"/>
      <c r="X334" s="3"/>
      <c r="Y334" s="3"/>
      <c r="Z334" s="13">
        <f t="shared" si="13"/>
        <v>53.6</v>
      </c>
      <c r="AA334" s="38"/>
      <c r="AB334" s="22">
        <f t="shared" si="15"/>
        <v>1.9925598706620469E-3</v>
      </c>
    </row>
    <row r="335" spans="2:28" hidden="1" x14ac:dyDescent="0.25">
      <c r="B335" s="41"/>
      <c r="C335" s="68" t="s">
        <v>370</v>
      </c>
      <c r="D335" s="28" t="s">
        <v>453</v>
      </c>
      <c r="E335" s="3"/>
      <c r="F335" s="6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>
        <f t="shared" si="16"/>
        <v>55.87</v>
      </c>
      <c r="R335" s="3"/>
      <c r="S335" s="3"/>
      <c r="T335" s="3"/>
      <c r="U335" s="3"/>
      <c r="V335" s="3"/>
      <c r="W335" s="3"/>
      <c r="X335" s="3"/>
      <c r="Y335" s="3"/>
      <c r="Z335" s="13">
        <f t="shared" si="13"/>
        <v>55.87</v>
      </c>
      <c r="AA335" s="38"/>
      <c r="AB335" s="22">
        <f t="shared" si="15"/>
        <v>2.0769462681695622E-3</v>
      </c>
    </row>
    <row r="336" spans="2:28" hidden="1" x14ac:dyDescent="0.25">
      <c r="B336" s="41"/>
      <c r="C336" s="68" t="s">
        <v>371</v>
      </c>
      <c r="D336" s="28" t="s">
        <v>453</v>
      </c>
      <c r="E336" s="3"/>
      <c r="F336" s="6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>
        <f t="shared" si="16"/>
        <v>50.95</v>
      </c>
      <c r="R336" s="3"/>
      <c r="S336" s="3"/>
      <c r="T336" s="3"/>
      <c r="U336" s="3"/>
      <c r="V336" s="3"/>
      <c r="W336" s="3"/>
      <c r="X336" s="3"/>
      <c r="Y336" s="3"/>
      <c r="Z336" s="13">
        <f t="shared" si="13"/>
        <v>50.95</v>
      </c>
      <c r="AA336" s="38"/>
      <c r="AB336" s="22">
        <f t="shared" si="15"/>
        <v>1.8940471158625238E-3</v>
      </c>
    </row>
    <row r="337" spans="2:28" hidden="1" x14ac:dyDescent="0.25">
      <c r="B337" s="41"/>
      <c r="C337" s="68" t="s">
        <v>372</v>
      </c>
      <c r="D337" s="28" t="s">
        <v>453</v>
      </c>
      <c r="E337" s="3"/>
      <c r="F337" s="6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>
        <f t="shared" si="16"/>
        <v>48.87</v>
      </c>
      <c r="R337" s="3"/>
      <c r="S337" s="3"/>
      <c r="T337" s="3"/>
      <c r="U337" s="3"/>
      <c r="V337" s="3"/>
      <c r="W337" s="3"/>
      <c r="X337" s="3"/>
      <c r="Y337" s="3"/>
      <c r="Z337" s="13">
        <f t="shared" si="13"/>
        <v>48.87</v>
      </c>
      <c r="AA337" s="38"/>
      <c r="AB337" s="22">
        <f t="shared" si="15"/>
        <v>1.8167238970010114E-3</v>
      </c>
    </row>
    <row r="338" spans="2:28" hidden="1" x14ac:dyDescent="0.25">
      <c r="B338" s="41"/>
      <c r="C338" s="68" t="s">
        <v>373</v>
      </c>
      <c r="D338" s="28" t="s">
        <v>453</v>
      </c>
      <c r="E338" s="3"/>
      <c r="F338" s="6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>
        <f t="shared" si="16"/>
        <v>55.78</v>
      </c>
      <c r="R338" s="3"/>
      <c r="S338" s="3"/>
      <c r="T338" s="3"/>
      <c r="U338" s="3"/>
      <c r="V338" s="3"/>
      <c r="W338" s="3"/>
      <c r="X338" s="3"/>
      <c r="Y338" s="3"/>
      <c r="Z338" s="13">
        <f t="shared" si="13"/>
        <v>55.78</v>
      </c>
      <c r="AA338" s="38"/>
      <c r="AB338" s="22">
        <f t="shared" si="15"/>
        <v>2.073600551968824E-3</v>
      </c>
    </row>
    <row r="339" spans="2:28" hidden="1" x14ac:dyDescent="0.25">
      <c r="B339" s="41"/>
      <c r="C339" s="68" t="s">
        <v>374</v>
      </c>
      <c r="D339" s="28" t="s">
        <v>453</v>
      </c>
      <c r="E339" s="3"/>
      <c r="F339" s="6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>
        <f t="shared" si="16"/>
        <v>88.45</v>
      </c>
      <c r="R339" s="3"/>
      <c r="S339" s="3"/>
      <c r="T339" s="3"/>
      <c r="U339" s="3"/>
      <c r="V339" s="3"/>
      <c r="W339" s="3"/>
      <c r="X339" s="3"/>
      <c r="Y339" s="3"/>
      <c r="Z339" s="13">
        <f t="shared" si="13"/>
        <v>88.45</v>
      </c>
      <c r="AA339" s="38"/>
      <c r="AB339" s="22">
        <f t="shared" si="15"/>
        <v>3.2880955328369035E-3</v>
      </c>
    </row>
    <row r="340" spans="2:28" hidden="1" x14ac:dyDescent="0.25">
      <c r="B340" s="41"/>
      <c r="C340" s="68" t="s">
        <v>375</v>
      </c>
      <c r="D340" s="28" t="s">
        <v>453</v>
      </c>
      <c r="E340" s="3"/>
      <c r="F340" s="6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>
        <f t="shared" si="16"/>
        <v>57.6</v>
      </c>
      <c r="R340" s="3"/>
      <c r="S340" s="3"/>
      <c r="T340" s="3"/>
      <c r="U340" s="3"/>
      <c r="V340" s="3"/>
      <c r="W340" s="3"/>
      <c r="X340" s="3"/>
      <c r="Y340" s="3"/>
      <c r="Z340" s="13">
        <f t="shared" si="13"/>
        <v>57.6</v>
      </c>
      <c r="AA340" s="38"/>
      <c r="AB340" s="22">
        <f t="shared" si="15"/>
        <v>2.141258368472647E-3</v>
      </c>
    </row>
    <row r="341" spans="2:28" hidden="1" x14ac:dyDescent="0.25">
      <c r="B341" s="41"/>
      <c r="C341" s="68" t="s">
        <v>376</v>
      </c>
      <c r="D341" s="28" t="s">
        <v>453</v>
      </c>
      <c r="E341" s="3"/>
      <c r="F341" s="6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>
        <f t="shared" si="16"/>
        <v>56.96</v>
      </c>
      <c r="R341" s="3"/>
      <c r="S341" s="3"/>
      <c r="T341" s="3"/>
      <c r="U341" s="3"/>
      <c r="V341" s="3"/>
      <c r="W341" s="3"/>
      <c r="X341" s="3"/>
      <c r="Y341" s="3"/>
      <c r="Z341" s="13">
        <f t="shared" si="13"/>
        <v>56.96</v>
      </c>
      <c r="AA341" s="38"/>
      <c r="AB341" s="22">
        <f t="shared" si="15"/>
        <v>2.117466608822951E-3</v>
      </c>
    </row>
    <row r="342" spans="2:28" hidden="1" x14ac:dyDescent="0.25">
      <c r="B342" s="41"/>
      <c r="C342" s="68" t="s">
        <v>377</v>
      </c>
      <c r="D342" s="28" t="s">
        <v>453</v>
      </c>
      <c r="E342" s="3"/>
      <c r="F342" s="6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>
        <f t="shared" ref="R342:R356" si="17">L252</f>
        <v>95.97</v>
      </c>
      <c r="S342" s="3"/>
      <c r="T342" s="3"/>
      <c r="U342" s="3"/>
      <c r="V342" s="3"/>
      <c r="W342" s="3"/>
      <c r="X342" s="3"/>
      <c r="Y342" s="3"/>
      <c r="Z342" s="13">
        <f t="shared" si="13"/>
        <v>95.97</v>
      </c>
      <c r="AA342" s="38"/>
      <c r="AB342" s="22">
        <f t="shared" si="15"/>
        <v>3.5676487087208321E-3</v>
      </c>
    </row>
    <row r="343" spans="2:28" hidden="1" x14ac:dyDescent="0.25">
      <c r="B343" s="41"/>
      <c r="C343" s="68" t="s">
        <v>378</v>
      </c>
      <c r="D343" s="28" t="s">
        <v>453</v>
      </c>
      <c r="E343" s="3"/>
      <c r="F343" s="6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>
        <f t="shared" si="17"/>
        <v>93.95</v>
      </c>
      <c r="S343" s="3"/>
      <c r="T343" s="3"/>
      <c r="U343" s="3"/>
      <c r="V343" s="3"/>
      <c r="W343" s="3"/>
      <c r="X343" s="3"/>
      <c r="Y343" s="3"/>
      <c r="Z343" s="13">
        <f t="shared" si="13"/>
        <v>93.95</v>
      </c>
      <c r="AA343" s="38"/>
      <c r="AB343" s="22">
        <f t="shared" si="15"/>
        <v>3.4925559673264794E-3</v>
      </c>
    </row>
    <row r="344" spans="2:28" hidden="1" x14ac:dyDescent="0.25">
      <c r="B344" s="41"/>
      <c r="C344" s="68" t="s">
        <v>379</v>
      </c>
      <c r="D344" s="28" t="s">
        <v>453</v>
      </c>
      <c r="E344" s="3"/>
      <c r="F344" s="6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>
        <f t="shared" si="17"/>
        <v>77.569999999999993</v>
      </c>
      <c r="S344" s="3"/>
      <c r="T344" s="3"/>
      <c r="U344" s="3"/>
      <c r="V344" s="3"/>
      <c r="W344" s="3"/>
      <c r="X344" s="3"/>
      <c r="Y344" s="3"/>
      <c r="Z344" s="13">
        <f t="shared" si="13"/>
        <v>77.569999999999993</v>
      </c>
      <c r="AA344" s="38"/>
      <c r="AB344" s="22">
        <f t="shared" si="15"/>
        <v>2.8836356187920699E-3</v>
      </c>
    </row>
    <row r="345" spans="2:28" hidden="1" x14ac:dyDescent="0.25">
      <c r="B345" s="41"/>
      <c r="C345" s="68" t="s">
        <v>380</v>
      </c>
      <c r="D345" s="28" t="s">
        <v>453</v>
      </c>
      <c r="E345" s="3"/>
      <c r="F345" s="6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>
        <f t="shared" si="17"/>
        <v>78.17</v>
      </c>
      <c r="S345" s="3"/>
      <c r="T345" s="3"/>
      <c r="U345" s="3"/>
      <c r="V345" s="3"/>
      <c r="W345" s="3"/>
      <c r="X345" s="3"/>
      <c r="Y345" s="3"/>
      <c r="Z345" s="13">
        <f t="shared" si="13"/>
        <v>78.17</v>
      </c>
      <c r="AA345" s="38"/>
      <c r="AB345" s="22">
        <f t="shared" si="15"/>
        <v>2.9059403934636602E-3</v>
      </c>
    </row>
    <row r="346" spans="2:28" hidden="1" x14ac:dyDescent="0.25">
      <c r="B346" s="41"/>
      <c r="C346" s="68" t="s">
        <v>381</v>
      </c>
      <c r="D346" s="28" t="s">
        <v>453</v>
      </c>
      <c r="E346" s="3"/>
      <c r="F346" s="6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>
        <f t="shared" si="17"/>
        <v>79.06</v>
      </c>
      <c r="S346" s="3"/>
      <c r="T346" s="3"/>
      <c r="U346" s="3"/>
      <c r="V346" s="3"/>
      <c r="W346" s="3"/>
      <c r="X346" s="3"/>
      <c r="Y346" s="3"/>
      <c r="Z346" s="13">
        <f t="shared" si="13"/>
        <v>79.06</v>
      </c>
      <c r="AA346" s="38"/>
      <c r="AB346" s="22">
        <f t="shared" si="15"/>
        <v>2.9390258092265188E-3</v>
      </c>
    </row>
    <row r="347" spans="2:28" hidden="1" x14ac:dyDescent="0.25">
      <c r="B347" s="41"/>
      <c r="C347" s="68" t="s">
        <v>382</v>
      </c>
      <c r="D347" s="28" t="s">
        <v>453</v>
      </c>
      <c r="E347" s="3"/>
      <c r="F347" s="69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>
        <f t="shared" si="17"/>
        <v>50.82</v>
      </c>
      <c r="S347" s="3"/>
      <c r="T347" s="3"/>
      <c r="U347" s="3"/>
      <c r="V347" s="3"/>
      <c r="W347" s="3"/>
      <c r="X347" s="3"/>
      <c r="Y347" s="3"/>
      <c r="Z347" s="13">
        <f t="shared" si="13"/>
        <v>50.82</v>
      </c>
      <c r="AA347" s="38"/>
      <c r="AB347" s="22">
        <f t="shared" si="15"/>
        <v>1.8892144146836793E-3</v>
      </c>
    </row>
    <row r="348" spans="2:28" hidden="1" x14ac:dyDescent="0.25">
      <c r="B348" s="41"/>
      <c r="C348" s="68" t="s">
        <v>383</v>
      </c>
      <c r="D348" s="28" t="s">
        <v>453</v>
      </c>
      <c r="E348" s="3"/>
      <c r="F348" s="69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>
        <f t="shared" si="17"/>
        <v>52.39</v>
      </c>
      <c r="S348" s="3"/>
      <c r="T348" s="3"/>
      <c r="U348" s="3"/>
      <c r="V348" s="3"/>
      <c r="W348" s="3"/>
      <c r="X348" s="3"/>
      <c r="Y348" s="3"/>
      <c r="Z348" s="13">
        <f t="shared" si="13"/>
        <v>52.39</v>
      </c>
      <c r="AA348" s="38"/>
      <c r="AB348" s="22">
        <f t="shared" si="15"/>
        <v>1.9475785750743401E-3</v>
      </c>
    </row>
    <row r="349" spans="2:28" hidden="1" x14ac:dyDescent="0.25">
      <c r="B349" s="41"/>
      <c r="C349" s="68" t="s">
        <v>384</v>
      </c>
      <c r="D349" s="28" t="s">
        <v>453</v>
      </c>
      <c r="E349" s="3"/>
      <c r="F349" s="69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>
        <f t="shared" si="17"/>
        <v>53.6</v>
      </c>
      <c r="S349" s="3"/>
      <c r="T349" s="3"/>
      <c r="U349" s="3"/>
      <c r="V349" s="3"/>
      <c r="W349" s="3"/>
      <c r="X349" s="3"/>
      <c r="Y349" s="3"/>
      <c r="Z349" s="13">
        <f t="shared" si="13"/>
        <v>53.6</v>
      </c>
      <c r="AA349" s="38"/>
      <c r="AB349" s="22">
        <f t="shared" si="15"/>
        <v>1.9925598706620469E-3</v>
      </c>
    </row>
    <row r="350" spans="2:28" hidden="1" x14ac:dyDescent="0.25">
      <c r="B350" s="41"/>
      <c r="C350" s="68" t="s">
        <v>385</v>
      </c>
      <c r="D350" s="28" t="s">
        <v>453</v>
      </c>
      <c r="E350" s="3"/>
      <c r="F350" s="69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>
        <f t="shared" si="17"/>
        <v>55.87</v>
      </c>
      <c r="S350" s="3"/>
      <c r="T350" s="3"/>
      <c r="U350" s="3"/>
      <c r="V350" s="3"/>
      <c r="W350" s="3"/>
      <c r="X350" s="3"/>
      <c r="Y350" s="3"/>
      <c r="Z350" s="13">
        <f t="shared" si="13"/>
        <v>55.87</v>
      </c>
      <c r="AA350" s="38"/>
      <c r="AB350" s="22">
        <f t="shared" si="15"/>
        <v>2.0769462681695622E-3</v>
      </c>
    </row>
    <row r="351" spans="2:28" hidden="1" x14ac:dyDescent="0.25">
      <c r="B351" s="41"/>
      <c r="C351" s="68" t="s">
        <v>386</v>
      </c>
      <c r="D351" s="28" t="s">
        <v>453</v>
      </c>
      <c r="E351" s="3"/>
      <c r="F351" s="6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>
        <f t="shared" si="17"/>
        <v>50.95</v>
      </c>
      <c r="S351" s="3"/>
      <c r="T351" s="3"/>
      <c r="U351" s="3"/>
      <c r="V351" s="3"/>
      <c r="W351" s="3"/>
      <c r="X351" s="3"/>
      <c r="Y351" s="3"/>
      <c r="Z351" s="13">
        <f t="shared" si="13"/>
        <v>50.95</v>
      </c>
      <c r="AA351" s="38"/>
      <c r="AB351" s="22">
        <f t="shared" si="15"/>
        <v>1.8940471158625238E-3</v>
      </c>
    </row>
    <row r="352" spans="2:28" hidden="1" x14ac:dyDescent="0.25">
      <c r="B352" s="41"/>
      <c r="C352" s="68" t="s">
        <v>387</v>
      </c>
      <c r="D352" s="28" t="s">
        <v>453</v>
      </c>
      <c r="E352" s="3"/>
      <c r="F352" s="69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>
        <f t="shared" si="17"/>
        <v>48.87</v>
      </c>
      <c r="S352" s="3"/>
      <c r="T352" s="3"/>
      <c r="U352" s="3"/>
      <c r="V352" s="3"/>
      <c r="W352" s="3"/>
      <c r="X352" s="3"/>
      <c r="Y352" s="3"/>
      <c r="Z352" s="13">
        <f t="shared" si="13"/>
        <v>48.87</v>
      </c>
      <c r="AA352" s="38"/>
      <c r="AB352" s="22">
        <f t="shared" si="15"/>
        <v>1.8167238970010114E-3</v>
      </c>
    </row>
    <row r="353" spans="2:28" hidden="1" x14ac:dyDescent="0.25">
      <c r="B353" s="41"/>
      <c r="C353" s="68" t="s">
        <v>388</v>
      </c>
      <c r="D353" s="28" t="s">
        <v>453</v>
      </c>
      <c r="E353" s="3"/>
      <c r="F353" s="69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>
        <f t="shared" si="17"/>
        <v>55.78</v>
      </c>
      <c r="S353" s="3"/>
      <c r="T353" s="3"/>
      <c r="U353" s="3"/>
      <c r="V353" s="3"/>
      <c r="W353" s="3"/>
      <c r="X353" s="3"/>
      <c r="Y353" s="3"/>
      <c r="Z353" s="13">
        <f t="shared" si="13"/>
        <v>55.78</v>
      </c>
      <c r="AA353" s="38"/>
      <c r="AB353" s="22">
        <f t="shared" si="15"/>
        <v>2.073600551968824E-3</v>
      </c>
    </row>
    <row r="354" spans="2:28" hidden="1" x14ac:dyDescent="0.25">
      <c r="B354" s="41"/>
      <c r="C354" s="68" t="s">
        <v>389</v>
      </c>
      <c r="D354" s="28" t="s">
        <v>453</v>
      </c>
      <c r="E354" s="3"/>
      <c r="F354" s="69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>
        <f t="shared" si="17"/>
        <v>88.45</v>
      </c>
      <c r="S354" s="3"/>
      <c r="T354" s="3"/>
      <c r="U354" s="3"/>
      <c r="V354" s="3"/>
      <c r="W354" s="3"/>
      <c r="X354" s="3"/>
      <c r="Y354" s="3"/>
      <c r="Z354" s="13">
        <f t="shared" si="13"/>
        <v>88.45</v>
      </c>
      <c r="AA354" s="38"/>
      <c r="AB354" s="22">
        <f t="shared" si="15"/>
        <v>3.2880955328369035E-3</v>
      </c>
    </row>
    <row r="355" spans="2:28" hidden="1" x14ac:dyDescent="0.25">
      <c r="B355" s="41"/>
      <c r="C355" s="68" t="s">
        <v>390</v>
      </c>
      <c r="D355" s="28" t="s">
        <v>453</v>
      </c>
      <c r="E355" s="3"/>
      <c r="F355" s="69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>
        <f t="shared" si="17"/>
        <v>57.6</v>
      </c>
      <c r="S355" s="3"/>
      <c r="T355" s="3"/>
      <c r="U355" s="3"/>
      <c r="V355" s="3"/>
      <c r="W355" s="3"/>
      <c r="X355" s="3"/>
      <c r="Y355" s="3"/>
      <c r="Z355" s="13">
        <f t="shared" si="13"/>
        <v>57.6</v>
      </c>
      <c r="AA355" s="38"/>
      <c r="AB355" s="22">
        <f t="shared" si="15"/>
        <v>2.141258368472647E-3</v>
      </c>
    </row>
    <row r="356" spans="2:28" hidden="1" x14ac:dyDescent="0.25">
      <c r="B356" s="41"/>
      <c r="C356" s="68" t="s">
        <v>391</v>
      </c>
      <c r="D356" s="28" t="s">
        <v>453</v>
      </c>
      <c r="E356" s="3"/>
      <c r="F356" s="69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>
        <f t="shared" si="17"/>
        <v>56.96</v>
      </c>
      <c r="S356" s="3"/>
      <c r="T356" s="3"/>
      <c r="U356" s="3"/>
      <c r="V356" s="3"/>
      <c r="W356" s="3"/>
      <c r="X356" s="3"/>
      <c r="Y356" s="3"/>
      <c r="Z356" s="13">
        <f t="shared" si="13"/>
        <v>56.96</v>
      </c>
      <c r="AA356" s="38"/>
      <c r="AB356" s="22">
        <f t="shared" si="15"/>
        <v>2.117466608822951E-3</v>
      </c>
    </row>
    <row r="357" spans="2:28" hidden="1" x14ac:dyDescent="0.25">
      <c r="B357" s="41"/>
      <c r="C357" s="68" t="s">
        <v>392</v>
      </c>
      <c r="D357" s="28" t="s">
        <v>453</v>
      </c>
      <c r="E357" s="3"/>
      <c r="F357" s="6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>
        <f t="shared" ref="S357:S371" si="18">L252</f>
        <v>95.97</v>
      </c>
      <c r="T357" s="3"/>
      <c r="U357" s="3"/>
      <c r="V357" s="3"/>
      <c r="W357" s="3"/>
      <c r="X357" s="3"/>
      <c r="Y357" s="3"/>
      <c r="Z357" s="13">
        <f t="shared" si="13"/>
        <v>95.97</v>
      </c>
      <c r="AA357" s="38"/>
      <c r="AB357" s="22">
        <f t="shared" si="15"/>
        <v>3.5676487087208321E-3</v>
      </c>
    </row>
    <row r="358" spans="2:28" hidden="1" x14ac:dyDescent="0.25">
      <c r="B358" s="41"/>
      <c r="C358" s="68" t="s">
        <v>393</v>
      </c>
      <c r="D358" s="28" t="s">
        <v>453</v>
      </c>
      <c r="E358" s="3"/>
      <c r="F358" s="69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>
        <f t="shared" si="18"/>
        <v>93.95</v>
      </c>
      <c r="T358" s="3"/>
      <c r="U358" s="3"/>
      <c r="V358" s="3"/>
      <c r="W358" s="3"/>
      <c r="X358" s="3"/>
      <c r="Y358" s="3"/>
      <c r="Z358" s="13">
        <f t="shared" si="13"/>
        <v>93.95</v>
      </c>
      <c r="AA358" s="38"/>
      <c r="AB358" s="22">
        <f t="shared" si="15"/>
        <v>3.4925559673264794E-3</v>
      </c>
    </row>
    <row r="359" spans="2:28" hidden="1" x14ac:dyDescent="0.25">
      <c r="B359" s="41"/>
      <c r="C359" s="68" t="s">
        <v>394</v>
      </c>
      <c r="D359" s="28" t="s">
        <v>453</v>
      </c>
      <c r="E359" s="3"/>
      <c r="F359" s="69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>
        <f t="shared" si="18"/>
        <v>77.569999999999993</v>
      </c>
      <c r="T359" s="3"/>
      <c r="U359" s="3"/>
      <c r="V359" s="3"/>
      <c r="W359" s="3"/>
      <c r="X359" s="3"/>
      <c r="Y359" s="3"/>
      <c r="Z359" s="13">
        <f t="shared" si="13"/>
        <v>77.569999999999993</v>
      </c>
      <c r="AA359" s="38"/>
      <c r="AB359" s="22">
        <f t="shared" si="15"/>
        <v>2.8836356187920699E-3</v>
      </c>
    </row>
    <row r="360" spans="2:28" hidden="1" x14ac:dyDescent="0.25">
      <c r="B360" s="36" t="s">
        <v>872</v>
      </c>
      <c r="C360" s="68" t="s">
        <v>395</v>
      </c>
      <c r="D360" s="28" t="s">
        <v>453</v>
      </c>
      <c r="E360" s="3"/>
      <c r="F360" s="69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>
        <f t="shared" si="18"/>
        <v>78.17</v>
      </c>
      <c r="T360" s="3"/>
      <c r="U360" s="3"/>
      <c r="V360" s="3"/>
      <c r="W360" s="3"/>
      <c r="X360" s="3"/>
      <c r="Y360" s="3"/>
      <c r="Z360" s="13">
        <f t="shared" si="13"/>
        <v>78.17</v>
      </c>
      <c r="AA360" s="38"/>
      <c r="AB360" s="22">
        <f t="shared" si="15"/>
        <v>2.9059403934636602E-3</v>
      </c>
    </row>
    <row r="361" spans="2:28" hidden="1" x14ac:dyDescent="0.25">
      <c r="B361" s="36" t="s">
        <v>873</v>
      </c>
      <c r="C361" s="68" t="s">
        <v>396</v>
      </c>
      <c r="D361" s="28" t="s">
        <v>453</v>
      </c>
      <c r="E361" s="3"/>
      <c r="F361" s="6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>
        <f t="shared" si="18"/>
        <v>79.06</v>
      </c>
      <c r="T361" s="3"/>
      <c r="U361" s="3"/>
      <c r="V361" s="3"/>
      <c r="W361" s="3"/>
      <c r="X361" s="3"/>
      <c r="Y361" s="3"/>
      <c r="Z361" s="13">
        <f t="shared" si="13"/>
        <v>79.06</v>
      </c>
      <c r="AA361" s="38"/>
      <c r="AB361" s="22">
        <f t="shared" si="15"/>
        <v>2.9390258092265188E-3</v>
      </c>
    </row>
    <row r="362" spans="2:28" hidden="1" x14ac:dyDescent="0.25">
      <c r="B362" s="41"/>
      <c r="C362" s="68" t="s">
        <v>397</v>
      </c>
      <c r="D362" s="28" t="s">
        <v>453</v>
      </c>
      <c r="E362" s="3"/>
      <c r="F362" s="69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>
        <f t="shared" si="18"/>
        <v>50.82</v>
      </c>
      <c r="T362" s="3"/>
      <c r="U362" s="3"/>
      <c r="V362" s="3"/>
      <c r="W362" s="3"/>
      <c r="X362" s="3"/>
      <c r="Y362" s="3"/>
      <c r="Z362" s="13">
        <f t="shared" si="13"/>
        <v>50.82</v>
      </c>
      <c r="AA362" s="38"/>
      <c r="AB362" s="22">
        <f t="shared" si="15"/>
        <v>1.8892144146836793E-3</v>
      </c>
    </row>
    <row r="363" spans="2:28" hidden="1" x14ac:dyDescent="0.25">
      <c r="B363" s="41"/>
      <c r="C363" s="68" t="s">
        <v>398</v>
      </c>
      <c r="D363" s="28" t="s">
        <v>453</v>
      </c>
      <c r="E363" s="3"/>
      <c r="F363" s="69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>
        <f t="shared" si="18"/>
        <v>52.39</v>
      </c>
      <c r="T363" s="3"/>
      <c r="U363" s="3"/>
      <c r="V363" s="3"/>
      <c r="W363" s="3"/>
      <c r="X363" s="3"/>
      <c r="Y363" s="3"/>
      <c r="Z363" s="13">
        <f t="shared" si="13"/>
        <v>52.39</v>
      </c>
      <c r="AA363" s="38"/>
      <c r="AB363" s="22">
        <f t="shared" si="15"/>
        <v>1.9475785750743401E-3</v>
      </c>
    </row>
    <row r="364" spans="2:28" hidden="1" x14ac:dyDescent="0.25">
      <c r="B364" s="41"/>
      <c r="C364" s="68" t="s">
        <v>399</v>
      </c>
      <c r="D364" s="28" t="s">
        <v>453</v>
      </c>
      <c r="E364" s="3"/>
      <c r="F364" s="6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>
        <f t="shared" si="18"/>
        <v>53.6</v>
      </c>
      <c r="T364" s="3"/>
      <c r="U364" s="3"/>
      <c r="V364" s="3"/>
      <c r="W364" s="3"/>
      <c r="X364" s="3"/>
      <c r="Y364" s="3"/>
      <c r="Z364" s="13">
        <f t="shared" si="13"/>
        <v>53.6</v>
      </c>
      <c r="AA364" s="38"/>
      <c r="AB364" s="22">
        <f t="shared" si="15"/>
        <v>1.9925598706620469E-3</v>
      </c>
    </row>
    <row r="365" spans="2:28" hidden="1" x14ac:dyDescent="0.25">
      <c r="B365" s="41"/>
      <c r="C365" s="68" t="s">
        <v>400</v>
      </c>
      <c r="D365" s="28" t="s">
        <v>453</v>
      </c>
      <c r="E365" s="3"/>
      <c r="F365" s="69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>
        <f t="shared" si="18"/>
        <v>55.87</v>
      </c>
      <c r="T365" s="3"/>
      <c r="U365" s="3"/>
      <c r="V365" s="3"/>
      <c r="W365" s="3"/>
      <c r="X365" s="3"/>
      <c r="Y365" s="3"/>
      <c r="Z365" s="13">
        <f t="shared" si="13"/>
        <v>55.87</v>
      </c>
      <c r="AA365" s="38"/>
      <c r="AB365" s="22">
        <f t="shared" si="15"/>
        <v>2.0769462681695622E-3</v>
      </c>
    </row>
    <row r="366" spans="2:28" hidden="1" x14ac:dyDescent="0.25">
      <c r="B366" s="41"/>
      <c r="C366" s="68" t="s">
        <v>401</v>
      </c>
      <c r="D366" s="28" t="s">
        <v>453</v>
      </c>
      <c r="E366" s="3"/>
      <c r="F366" s="69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>
        <f t="shared" si="18"/>
        <v>50.95</v>
      </c>
      <c r="T366" s="3"/>
      <c r="U366" s="3"/>
      <c r="V366" s="3"/>
      <c r="W366" s="3"/>
      <c r="X366" s="3"/>
      <c r="Y366" s="3"/>
      <c r="Z366" s="13">
        <f t="shared" si="13"/>
        <v>50.95</v>
      </c>
      <c r="AA366" s="38"/>
      <c r="AB366" s="22">
        <f t="shared" si="15"/>
        <v>1.8940471158625238E-3</v>
      </c>
    </row>
    <row r="367" spans="2:28" hidden="1" x14ac:dyDescent="0.25">
      <c r="B367" s="41"/>
      <c r="C367" s="68" t="s">
        <v>402</v>
      </c>
      <c r="D367" s="28" t="s">
        <v>453</v>
      </c>
      <c r="E367" s="3"/>
      <c r="F367" s="69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>
        <f t="shared" si="18"/>
        <v>48.87</v>
      </c>
      <c r="T367" s="3"/>
      <c r="U367" s="3"/>
      <c r="V367" s="3"/>
      <c r="W367" s="3"/>
      <c r="X367" s="3"/>
      <c r="Y367" s="3"/>
      <c r="Z367" s="13">
        <f t="shared" si="13"/>
        <v>48.87</v>
      </c>
      <c r="AA367" s="38"/>
      <c r="AB367" s="22">
        <f t="shared" si="15"/>
        <v>1.8167238970010114E-3</v>
      </c>
    </row>
    <row r="368" spans="2:28" hidden="1" x14ac:dyDescent="0.25">
      <c r="B368" s="41"/>
      <c r="C368" s="68" t="s">
        <v>403</v>
      </c>
      <c r="D368" s="28" t="s">
        <v>453</v>
      </c>
      <c r="E368" s="3"/>
      <c r="F368" s="69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>
        <f t="shared" si="18"/>
        <v>55.78</v>
      </c>
      <c r="T368" s="3"/>
      <c r="U368" s="3"/>
      <c r="V368" s="3"/>
      <c r="W368" s="3"/>
      <c r="X368" s="3"/>
      <c r="Y368" s="3"/>
      <c r="Z368" s="13">
        <f t="shared" ref="Z368:Z398" si="19">SUM(E368:Y368)</f>
        <v>55.78</v>
      </c>
      <c r="AA368" s="38"/>
      <c r="AB368" s="22">
        <f t="shared" si="15"/>
        <v>2.073600551968824E-3</v>
      </c>
    </row>
    <row r="369" spans="2:28" hidden="1" x14ac:dyDescent="0.25">
      <c r="B369" s="41"/>
      <c r="C369" s="68" t="s">
        <v>404</v>
      </c>
      <c r="D369" s="28" t="s">
        <v>453</v>
      </c>
      <c r="E369" s="3"/>
      <c r="F369" s="69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>
        <f t="shared" si="18"/>
        <v>88.45</v>
      </c>
      <c r="T369" s="3"/>
      <c r="U369" s="3"/>
      <c r="V369" s="3"/>
      <c r="W369" s="3"/>
      <c r="X369" s="3"/>
      <c r="Y369" s="3"/>
      <c r="Z369" s="13">
        <f t="shared" si="19"/>
        <v>88.45</v>
      </c>
      <c r="AA369" s="38"/>
      <c r="AB369" s="22">
        <f t="shared" si="15"/>
        <v>3.2880955328369035E-3</v>
      </c>
    </row>
    <row r="370" spans="2:28" hidden="1" x14ac:dyDescent="0.25">
      <c r="B370" s="41"/>
      <c r="C370" s="68" t="s">
        <v>405</v>
      </c>
      <c r="D370" s="28" t="s">
        <v>453</v>
      </c>
      <c r="E370" s="3"/>
      <c r="F370" s="6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>
        <f t="shared" si="18"/>
        <v>57.6</v>
      </c>
      <c r="T370" s="3"/>
      <c r="U370" s="3"/>
      <c r="V370" s="3"/>
      <c r="W370" s="3"/>
      <c r="X370" s="3"/>
      <c r="Y370" s="3"/>
      <c r="Z370" s="13">
        <f t="shared" si="19"/>
        <v>57.6</v>
      </c>
      <c r="AA370" s="38"/>
      <c r="AB370" s="22">
        <f t="shared" si="15"/>
        <v>2.141258368472647E-3</v>
      </c>
    </row>
    <row r="371" spans="2:28" hidden="1" x14ac:dyDescent="0.25">
      <c r="B371" s="41"/>
      <c r="C371" s="68" t="s">
        <v>406</v>
      </c>
      <c r="D371" s="28" t="s">
        <v>453</v>
      </c>
      <c r="E371" s="3"/>
      <c r="F371" s="69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>
        <f t="shared" si="18"/>
        <v>56.96</v>
      </c>
      <c r="T371" s="3"/>
      <c r="U371" s="3"/>
      <c r="V371" s="3"/>
      <c r="W371" s="3"/>
      <c r="X371" s="3"/>
      <c r="Y371" s="3"/>
      <c r="Z371" s="13">
        <f t="shared" si="19"/>
        <v>56.96</v>
      </c>
      <c r="AA371" s="38"/>
      <c r="AB371" s="22">
        <f t="shared" si="15"/>
        <v>2.117466608822951E-3</v>
      </c>
    </row>
    <row r="372" spans="2:28" hidden="1" x14ac:dyDescent="0.25">
      <c r="B372" s="41"/>
      <c r="C372" s="68" t="s">
        <v>407</v>
      </c>
      <c r="D372" s="28" t="s">
        <v>453</v>
      </c>
      <c r="E372" s="3"/>
      <c r="F372" s="69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>
        <f t="shared" ref="T372:T386" si="20">L252</f>
        <v>95.97</v>
      </c>
      <c r="U372" s="3"/>
      <c r="V372" s="3"/>
      <c r="W372" s="3"/>
      <c r="X372" s="3"/>
      <c r="Y372" s="3"/>
      <c r="Z372" s="13">
        <f t="shared" si="19"/>
        <v>95.97</v>
      </c>
      <c r="AA372" s="38"/>
      <c r="AB372" s="22">
        <f t="shared" si="15"/>
        <v>3.5676487087208321E-3</v>
      </c>
    </row>
    <row r="373" spans="2:28" hidden="1" x14ac:dyDescent="0.25">
      <c r="B373" s="41"/>
      <c r="C373" s="68" t="s">
        <v>408</v>
      </c>
      <c r="D373" s="28" t="s">
        <v>453</v>
      </c>
      <c r="E373" s="3"/>
      <c r="F373" s="69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>
        <f t="shared" si="20"/>
        <v>93.95</v>
      </c>
      <c r="U373" s="3"/>
      <c r="V373" s="3"/>
      <c r="W373" s="3"/>
      <c r="X373" s="3"/>
      <c r="Y373" s="3"/>
      <c r="Z373" s="13">
        <f t="shared" si="19"/>
        <v>93.95</v>
      </c>
      <c r="AA373" s="38"/>
      <c r="AB373" s="22">
        <f t="shared" si="15"/>
        <v>3.4925559673264794E-3</v>
      </c>
    </row>
    <row r="374" spans="2:28" hidden="1" x14ac:dyDescent="0.25">
      <c r="B374" s="41"/>
      <c r="C374" s="68" t="s">
        <v>409</v>
      </c>
      <c r="D374" s="28" t="s">
        <v>453</v>
      </c>
      <c r="E374" s="3"/>
      <c r="F374" s="69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>
        <f t="shared" si="20"/>
        <v>77.569999999999993</v>
      </c>
      <c r="U374" s="3"/>
      <c r="V374" s="3"/>
      <c r="W374" s="3"/>
      <c r="X374" s="3"/>
      <c r="Y374" s="3"/>
      <c r="Z374" s="13">
        <f t="shared" si="19"/>
        <v>77.569999999999993</v>
      </c>
      <c r="AA374" s="38"/>
      <c r="AB374" s="22">
        <f t="shared" si="15"/>
        <v>2.8836356187920699E-3</v>
      </c>
    </row>
    <row r="375" spans="2:28" hidden="1" x14ac:dyDescent="0.25">
      <c r="B375" s="41"/>
      <c r="C375" s="68" t="s">
        <v>410</v>
      </c>
      <c r="D375" s="28" t="s">
        <v>453</v>
      </c>
      <c r="E375" s="3"/>
      <c r="F375" s="69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>
        <f t="shared" si="20"/>
        <v>78.17</v>
      </c>
      <c r="U375" s="3"/>
      <c r="V375" s="3"/>
      <c r="W375" s="3"/>
      <c r="X375" s="3"/>
      <c r="Y375" s="3"/>
      <c r="Z375" s="13">
        <f t="shared" si="19"/>
        <v>78.17</v>
      </c>
      <c r="AA375" s="38"/>
      <c r="AB375" s="22">
        <f t="shared" si="15"/>
        <v>2.9059403934636602E-3</v>
      </c>
    </row>
    <row r="376" spans="2:28" hidden="1" x14ac:dyDescent="0.25">
      <c r="B376" s="41"/>
      <c r="C376" s="68" t="s">
        <v>411</v>
      </c>
      <c r="D376" s="28" t="s">
        <v>453</v>
      </c>
      <c r="E376" s="3"/>
      <c r="F376" s="6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>
        <f t="shared" si="20"/>
        <v>79.06</v>
      </c>
      <c r="U376" s="3"/>
      <c r="V376" s="3"/>
      <c r="W376" s="3"/>
      <c r="X376" s="3"/>
      <c r="Y376" s="3"/>
      <c r="Z376" s="13">
        <f t="shared" si="19"/>
        <v>79.06</v>
      </c>
      <c r="AA376" s="38"/>
      <c r="AB376" s="22">
        <f t="shared" si="15"/>
        <v>2.9390258092265188E-3</v>
      </c>
    </row>
    <row r="377" spans="2:28" hidden="1" x14ac:dyDescent="0.25">
      <c r="B377" s="41"/>
      <c r="C377" s="68" t="s">
        <v>412</v>
      </c>
      <c r="D377" s="28" t="s">
        <v>453</v>
      </c>
      <c r="E377" s="3"/>
      <c r="F377" s="69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>
        <f t="shared" si="20"/>
        <v>50.82</v>
      </c>
      <c r="U377" s="3"/>
      <c r="V377" s="3"/>
      <c r="W377" s="3"/>
      <c r="X377" s="3"/>
      <c r="Y377" s="3"/>
      <c r="Z377" s="13">
        <f t="shared" si="19"/>
        <v>50.82</v>
      </c>
      <c r="AA377" s="38"/>
      <c r="AB377" s="22">
        <f t="shared" si="15"/>
        <v>1.8892144146836793E-3</v>
      </c>
    </row>
    <row r="378" spans="2:28" hidden="1" x14ac:dyDescent="0.25">
      <c r="B378" s="41"/>
      <c r="C378" s="68" t="s">
        <v>413</v>
      </c>
      <c r="D378" s="28" t="s">
        <v>453</v>
      </c>
      <c r="E378" s="3"/>
      <c r="F378" s="69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>
        <f t="shared" si="20"/>
        <v>52.39</v>
      </c>
      <c r="U378" s="3"/>
      <c r="V378" s="3"/>
      <c r="W378" s="3"/>
      <c r="X378" s="3"/>
      <c r="Y378" s="3"/>
      <c r="Z378" s="13">
        <f t="shared" si="19"/>
        <v>52.39</v>
      </c>
      <c r="AA378" s="38"/>
      <c r="AB378" s="22">
        <f t="shared" si="15"/>
        <v>1.9475785750743401E-3</v>
      </c>
    </row>
    <row r="379" spans="2:28" hidden="1" x14ac:dyDescent="0.25">
      <c r="B379" s="41"/>
      <c r="C379" s="68" t="s">
        <v>414</v>
      </c>
      <c r="D379" s="28" t="s">
        <v>453</v>
      </c>
      <c r="E379" s="3"/>
      <c r="F379" s="69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>
        <f t="shared" si="20"/>
        <v>53.6</v>
      </c>
      <c r="U379" s="3"/>
      <c r="V379" s="3"/>
      <c r="W379" s="3"/>
      <c r="X379" s="3"/>
      <c r="Y379" s="3"/>
      <c r="Z379" s="13">
        <f t="shared" si="19"/>
        <v>53.6</v>
      </c>
      <c r="AA379" s="38"/>
      <c r="AB379" s="22">
        <f t="shared" si="15"/>
        <v>1.9925598706620469E-3</v>
      </c>
    </row>
    <row r="380" spans="2:28" hidden="1" x14ac:dyDescent="0.25">
      <c r="B380" s="41"/>
      <c r="C380" s="68" t="s">
        <v>415</v>
      </c>
      <c r="D380" s="28" t="s">
        <v>453</v>
      </c>
      <c r="E380" s="3"/>
      <c r="F380" s="69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>
        <f t="shared" si="20"/>
        <v>55.87</v>
      </c>
      <c r="U380" s="3"/>
      <c r="V380" s="3"/>
      <c r="W380" s="3"/>
      <c r="X380" s="3"/>
      <c r="Y380" s="3"/>
      <c r="Z380" s="13">
        <f t="shared" si="19"/>
        <v>55.87</v>
      </c>
      <c r="AA380" s="38"/>
      <c r="AB380" s="22">
        <f t="shared" si="15"/>
        <v>2.0769462681695622E-3</v>
      </c>
    </row>
    <row r="381" spans="2:28" hidden="1" x14ac:dyDescent="0.25">
      <c r="B381" s="41"/>
      <c r="C381" s="68" t="s">
        <v>416</v>
      </c>
      <c r="D381" s="28" t="s">
        <v>453</v>
      </c>
      <c r="E381" s="3"/>
      <c r="F381" s="69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>
        <f t="shared" si="20"/>
        <v>50.95</v>
      </c>
      <c r="U381" s="3"/>
      <c r="V381" s="3"/>
      <c r="W381" s="3"/>
      <c r="X381" s="3"/>
      <c r="Y381" s="3"/>
      <c r="Z381" s="13">
        <f t="shared" si="19"/>
        <v>50.95</v>
      </c>
      <c r="AA381" s="38"/>
      <c r="AB381" s="22">
        <f t="shared" si="15"/>
        <v>1.8940471158625238E-3</v>
      </c>
    </row>
    <row r="382" spans="2:28" hidden="1" x14ac:dyDescent="0.25">
      <c r="B382" s="41"/>
      <c r="C382" s="68" t="s">
        <v>417</v>
      </c>
      <c r="D382" s="28" t="s">
        <v>453</v>
      </c>
      <c r="E382" s="3"/>
      <c r="F382" s="6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>
        <f t="shared" si="20"/>
        <v>48.87</v>
      </c>
      <c r="U382" s="3"/>
      <c r="V382" s="3"/>
      <c r="W382" s="3"/>
      <c r="X382" s="3"/>
      <c r="Y382" s="3"/>
      <c r="Z382" s="13">
        <f t="shared" si="19"/>
        <v>48.87</v>
      </c>
      <c r="AA382" s="38"/>
      <c r="AB382" s="22">
        <f t="shared" si="15"/>
        <v>1.8167238970010114E-3</v>
      </c>
    </row>
    <row r="383" spans="2:28" hidden="1" x14ac:dyDescent="0.25">
      <c r="B383" s="41"/>
      <c r="C383" s="68" t="s">
        <v>418</v>
      </c>
      <c r="D383" s="28" t="s">
        <v>453</v>
      </c>
      <c r="E383" s="3"/>
      <c r="F383" s="69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>
        <f t="shared" si="20"/>
        <v>55.78</v>
      </c>
      <c r="U383" s="3"/>
      <c r="V383" s="3"/>
      <c r="W383" s="3"/>
      <c r="X383" s="3"/>
      <c r="Y383" s="3"/>
      <c r="Z383" s="13">
        <f t="shared" si="19"/>
        <v>55.78</v>
      </c>
      <c r="AA383" s="38"/>
      <c r="AB383" s="22">
        <f t="shared" si="15"/>
        <v>2.073600551968824E-3</v>
      </c>
    </row>
    <row r="384" spans="2:28" hidden="1" x14ac:dyDescent="0.25">
      <c r="B384" s="41"/>
      <c r="C384" s="68" t="s">
        <v>419</v>
      </c>
      <c r="D384" s="28" t="s">
        <v>453</v>
      </c>
      <c r="E384" s="3"/>
      <c r="F384" s="69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>
        <f t="shared" si="20"/>
        <v>88.45</v>
      </c>
      <c r="U384" s="3"/>
      <c r="V384" s="3"/>
      <c r="W384" s="3"/>
      <c r="X384" s="3"/>
      <c r="Y384" s="3"/>
      <c r="Z384" s="13">
        <f t="shared" si="19"/>
        <v>88.45</v>
      </c>
      <c r="AA384" s="38"/>
      <c r="AB384" s="22">
        <f t="shared" si="15"/>
        <v>3.2880955328369035E-3</v>
      </c>
    </row>
    <row r="385" spans="2:28" hidden="1" x14ac:dyDescent="0.25">
      <c r="B385" s="41"/>
      <c r="C385" s="68" t="s">
        <v>420</v>
      </c>
      <c r="D385" s="28" t="s">
        <v>453</v>
      </c>
      <c r="E385" s="3"/>
      <c r="F385" s="69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>
        <f t="shared" si="20"/>
        <v>57.6</v>
      </c>
      <c r="U385" s="3"/>
      <c r="V385" s="3"/>
      <c r="W385" s="3"/>
      <c r="X385" s="3"/>
      <c r="Y385" s="3"/>
      <c r="Z385" s="13">
        <f t="shared" si="19"/>
        <v>57.6</v>
      </c>
      <c r="AA385" s="38"/>
      <c r="AB385" s="22">
        <f t="shared" si="15"/>
        <v>2.141258368472647E-3</v>
      </c>
    </row>
    <row r="386" spans="2:28" hidden="1" x14ac:dyDescent="0.25">
      <c r="B386" s="41"/>
      <c r="C386" s="68" t="s">
        <v>421</v>
      </c>
      <c r="D386" s="28" t="s">
        <v>453</v>
      </c>
      <c r="E386" s="3"/>
      <c r="F386" s="69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>
        <f t="shared" si="20"/>
        <v>56.96</v>
      </c>
      <c r="U386" s="3"/>
      <c r="V386" s="3"/>
      <c r="W386" s="3"/>
      <c r="X386" s="3"/>
      <c r="Y386" s="3"/>
      <c r="Z386" s="13">
        <f t="shared" si="19"/>
        <v>56.96</v>
      </c>
      <c r="AA386" s="38"/>
      <c r="AB386" s="22">
        <f t="shared" si="15"/>
        <v>2.117466608822951E-3</v>
      </c>
    </row>
    <row r="387" spans="2:28" hidden="1" x14ac:dyDescent="0.25">
      <c r="B387" s="41"/>
      <c r="C387" s="68" t="s">
        <v>422</v>
      </c>
      <c r="D387" s="28" t="s">
        <v>453</v>
      </c>
      <c r="E387" s="3"/>
      <c r="F387" s="69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>
        <f t="shared" ref="U387:U397" si="21">L255</f>
        <v>78.17</v>
      </c>
      <c r="V387" s="3"/>
      <c r="W387" s="3"/>
      <c r="X387" s="3"/>
      <c r="Y387" s="3"/>
      <c r="Z387" s="13">
        <f t="shared" si="19"/>
        <v>78.17</v>
      </c>
      <c r="AA387" s="38"/>
      <c r="AB387" s="22">
        <f t="shared" si="15"/>
        <v>2.9059403934636602E-3</v>
      </c>
    </row>
    <row r="388" spans="2:28" hidden="1" x14ac:dyDescent="0.25">
      <c r="B388" s="41"/>
      <c r="C388" s="68" t="s">
        <v>423</v>
      </c>
      <c r="D388" s="28" t="s">
        <v>453</v>
      </c>
      <c r="E388" s="3"/>
      <c r="F388" s="6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>
        <f t="shared" si="21"/>
        <v>79.06</v>
      </c>
      <c r="V388" s="3"/>
      <c r="W388" s="3"/>
      <c r="X388" s="3"/>
      <c r="Y388" s="3"/>
      <c r="Z388" s="13">
        <f t="shared" si="19"/>
        <v>79.06</v>
      </c>
      <c r="AA388" s="38"/>
      <c r="AB388" s="22">
        <f t="shared" si="15"/>
        <v>2.9390258092265188E-3</v>
      </c>
    </row>
    <row r="389" spans="2:28" hidden="1" x14ac:dyDescent="0.25">
      <c r="B389" s="41"/>
      <c r="C389" s="68" t="s">
        <v>424</v>
      </c>
      <c r="D389" s="28" t="s">
        <v>453</v>
      </c>
      <c r="E389" s="3"/>
      <c r="F389" s="6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>
        <f t="shared" si="21"/>
        <v>50.82</v>
      </c>
      <c r="V389" s="3"/>
      <c r="W389" s="3"/>
      <c r="X389" s="3"/>
      <c r="Y389" s="3"/>
      <c r="Z389" s="13">
        <f t="shared" si="19"/>
        <v>50.82</v>
      </c>
      <c r="AA389" s="38"/>
      <c r="AB389" s="22">
        <f t="shared" si="15"/>
        <v>1.8892144146836793E-3</v>
      </c>
    </row>
    <row r="390" spans="2:28" hidden="1" x14ac:dyDescent="0.25">
      <c r="B390" s="41"/>
      <c r="C390" s="68" t="s">
        <v>425</v>
      </c>
      <c r="D390" s="28" t="s">
        <v>453</v>
      </c>
      <c r="E390" s="3"/>
      <c r="F390" s="69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>
        <f t="shared" si="21"/>
        <v>52.39</v>
      </c>
      <c r="V390" s="3"/>
      <c r="W390" s="3"/>
      <c r="X390" s="3"/>
      <c r="Y390" s="3"/>
      <c r="Z390" s="13">
        <f t="shared" si="19"/>
        <v>52.39</v>
      </c>
      <c r="AA390" s="38"/>
      <c r="AB390" s="22">
        <f t="shared" ref="AB390:AB398" si="22">+Z390/$AA$877</f>
        <v>1.9475785750743401E-3</v>
      </c>
    </row>
    <row r="391" spans="2:28" hidden="1" x14ac:dyDescent="0.25">
      <c r="B391" s="41"/>
      <c r="C391" s="68" t="s">
        <v>426</v>
      </c>
      <c r="D391" s="28" t="s">
        <v>453</v>
      </c>
      <c r="E391" s="3"/>
      <c r="F391" s="6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>
        <f t="shared" si="21"/>
        <v>53.6</v>
      </c>
      <c r="V391" s="3"/>
      <c r="W391" s="3"/>
      <c r="X391" s="3"/>
      <c r="Y391" s="3"/>
      <c r="Z391" s="13">
        <f t="shared" si="19"/>
        <v>53.6</v>
      </c>
      <c r="AA391" s="38"/>
      <c r="AB391" s="22">
        <f t="shared" si="22"/>
        <v>1.9925598706620469E-3</v>
      </c>
    </row>
    <row r="392" spans="2:28" hidden="1" x14ac:dyDescent="0.25">
      <c r="B392" s="41"/>
      <c r="C392" s="68" t="s">
        <v>427</v>
      </c>
      <c r="D392" s="28" t="s">
        <v>453</v>
      </c>
      <c r="E392" s="3"/>
      <c r="F392" s="69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>
        <f t="shared" si="21"/>
        <v>55.87</v>
      </c>
      <c r="V392" s="3"/>
      <c r="W392" s="3"/>
      <c r="X392" s="3"/>
      <c r="Y392" s="3"/>
      <c r="Z392" s="13">
        <f t="shared" si="19"/>
        <v>55.87</v>
      </c>
      <c r="AA392" s="38"/>
      <c r="AB392" s="22">
        <f t="shared" si="22"/>
        <v>2.0769462681695622E-3</v>
      </c>
    </row>
    <row r="393" spans="2:28" hidden="1" x14ac:dyDescent="0.25">
      <c r="B393" s="41"/>
      <c r="C393" s="68" t="s">
        <v>428</v>
      </c>
      <c r="D393" s="28" t="s">
        <v>453</v>
      </c>
      <c r="E393" s="3"/>
      <c r="F393" s="69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>
        <f t="shared" si="21"/>
        <v>50.95</v>
      </c>
      <c r="V393" s="3"/>
      <c r="W393" s="3"/>
      <c r="X393" s="3"/>
      <c r="Y393" s="3"/>
      <c r="Z393" s="13">
        <f t="shared" si="19"/>
        <v>50.95</v>
      </c>
      <c r="AA393" s="38"/>
      <c r="AB393" s="22">
        <f t="shared" si="22"/>
        <v>1.8940471158625238E-3</v>
      </c>
    </row>
    <row r="394" spans="2:28" hidden="1" x14ac:dyDescent="0.25">
      <c r="B394" s="41"/>
      <c r="C394" s="68" t="s">
        <v>429</v>
      </c>
      <c r="D394" s="28" t="s">
        <v>453</v>
      </c>
      <c r="E394" s="3"/>
      <c r="F394" s="69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>
        <f t="shared" si="21"/>
        <v>48.87</v>
      </c>
      <c r="V394" s="3"/>
      <c r="W394" s="3"/>
      <c r="X394" s="3"/>
      <c r="Y394" s="3"/>
      <c r="Z394" s="13">
        <f t="shared" si="19"/>
        <v>48.87</v>
      </c>
      <c r="AA394" s="38"/>
      <c r="AB394" s="22">
        <f t="shared" si="22"/>
        <v>1.8167238970010114E-3</v>
      </c>
    </row>
    <row r="395" spans="2:28" hidden="1" x14ac:dyDescent="0.25">
      <c r="B395" s="41"/>
      <c r="C395" s="68" t="s">
        <v>430</v>
      </c>
      <c r="D395" s="28" t="s">
        <v>453</v>
      </c>
      <c r="E395" s="3"/>
      <c r="F395" s="69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>
        <f t="shared" si="21"/>
        <v>55.78</v>
      </c>
      <c r="V395" s="3"/>
      <c r="W395" s="3"/>
      <c r="X395" s="3"/>
      <c r="Y395" s="3"/>
      <c r="Z395" s="13">
        <f t="shared" si="19"/>
        <v>55.78</v>
      </c>
      <c r="AA395" s="38"/>
      <c r="AB395" s="22">
        <f t="shared" si="22"/>
        <v>2.073600551968824E-3</v>
      </c>
    </row>
    <row r="396" spans="2:28" hidden="1" x14ac:dyDescent="0.25">
      <c r="B396" s="41"/>
      <c r="C396" s="68" t="s">
        <v>744</v>
      </c>
      <c r="D396" s="28" t="s">
        <v>453</v>
      </c>
      <c r="E396" s="3"/>
      <c r="F396" s="69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>
        <f t="shared" si="21"/>
        <v>88.45</v>
      </c>
      <c r="V396" s="3"/>
      <c r="W396" s="3"/>
      <c r="X396" s="3"/>
      <c r="Y396" s="3"/>
      <c r="Z396" s="13">
        <f t="shared" si="19"/>
        <v>88.45</v>
      </c>
      <c r="AA396" s="38"/>
      <c r="AB396" s="22">
        <f t="shared" si="22"/>
        <v>3.2880955328369035E-3</v>
      </c>
    </row>
    <row r="397" spans="2:28" ht="15.75" hidden="1" thickBot="1" x14ac:dyDescent="0.3">
      <c r="B397" s="41"/>
      <c r="C397" s="68" t="s">
        <v>745</v>
      </c>
      <c r="D397" s="28" t="s">
        <v>453</v>
      </c>
      <c r="E397" s="3"/>
      <c r="F397" s="6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>
        <f t="shared" si="21"/>
        <v>57.6</v>
      </c>
      <c r="V397" s="3"/>
      <c r="W397" s="3"/>
      <c r="X397" s="3"/>
      <c r="Y397" s="3"/>
      <c r="Z397" s="13">
        <f t="shared" si="19"/>
        <v>57.6</v>
      </c>
      <c r="AA397" s="38"/>
      <c r="AB397" s="22">
        <f t="shared" si="22"/>
        <v>2.141258368472647E-3</v>
      </c>
    </row>
    <row r="398" spans="2:28" ht="15.75" hidden="1" thickBot="1" x14ac:dyDescent="0.3">
      <c r="B398" s="41"/>
      <c r="C398" s="88" t="s">
        <v>746</v>
      </c>
      <c r="D398" s="89" t="s">
        <v>453</v>
      </c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>
        <v>54.4</v>
      </c>
      <c r="V398" s="3"/>
      <c r="W398" s="3"/>
      <c r="X398" s="3"/>
      <c r="Y398" s="3"/>
      <c r="Z398" s="13">
        <f t="shared" si="19"/>
        <v>54.4</v>
      </c>
      <c r="AA398" s="37">
        <f>SUM(Z6:Z398)</f>
        <v>13366.880000000019</v>
      </c>
      <c r="AB398" s="22">
        <f t="shared" si="22"/>
        <v>2.0222995702241665E-3</v>
      </c>
    </row>
    <row r="399" spans="2:28" ht="15.75" hidden="1" thickBot="1" x14ac:dyDescent="0.3">
      <c r="B399" s="42"/>
      <c r="C399" s="70" t="s">
        <v>29</v>
      </c>
      <c r="D399" s="53"/>
      <c r="E399" s="51">
        <f t="shared" ref="E399:Z399" si="23">SUM(E6:E398)</f>
        <v>570.21000000000015</v>
      </c>
      <c r="F399" s="51">
        <f t="shared" si="23"/>
        <v>542.98</v>
      </c>
      <c r="G399" s="51">
        <f t="shared" si="23"/>
        <v>551.67999999999995</v>
      </c>
      <c r="H399" s="51">
        <f t="shared" si="23"/>
        <v>552.62</v>
      </c>
      <c r="I399" s="51">
        <f t="shared" si="23"/>
        <v>298.99000000000007</v>
      </c>
      <c r="J399" s="51">
        <f t="shared" si="23"/>
        <v>550.26999999999975</v>
      </c>
      <c r="K399" s="51">
        <f t="shared" si="23"/>
        <v>610.07999999999981</v>
      </c>
      <c r="L399" s="51">
        <f t="shared" si="23"/>
        <v>996.01000000000022</v>
      </c>
      <c r="M399" s="51">
        <f t="shared" si="23"/>
        <v>996.01000000000022</v>
      </c>
      <c r="N399" s="51">
        <f t="shared" si="23"/>
        <v>996.01000000000022</v>
      </c>
      <c r="O399" s="51">
        <f t="shared" si="23"/>
        <v>996.01000000000022</v>
      </c>
      <c r="P399" s="51">
        <f t="shared" si="23"/>
        <v>996.01000000000022</v>
      </c>
      <c r="Q399" s="51">
        <f t="shared" si="23"/>
        <v>996.01000000000022</v>
      </c>
      <c r="R399" s="51">
        <f t="shared" si="23"/>
        <v>996.01000000000022</v>
      </c>
      <c r="S399" s="51">
        <f t="shared" si="23"/>
        <v>996.01000000000022</v>
      </c>
      <c r="T399" s="51">
        <f t="shared" si="23"/>
        <v>996.01000000000022</v>
      </c>
      <c r="U399" s="51">
        <f t="shared" si="23"/>
        <v>725.96</v>
      </c>
      <c r="V399" s="9">
        <f t="shared" si="23"/>
        <v>0</v>
      </c>
      <c r="W399" s="9">
        <f t="shared" si="23"/>
        <v>0</v>
      </c>
      <c r="X399" s="9">
        <f t="shared" si="23"/>
        <v>0</v>
      </c>
      <c r="Y399" s="9">
        <f t="shared" si="23"/>
        <v>0</v>
      </c>
      <c r="Z399" s="14">
        <f t="shared" si="23"/>
        <v>13366.880000000019</v>
      </c>
      <c r="AA399" s="39"/>
      <c r="AB399" s="23">
        <f>SUM(AB6:AB398)</f>
        <v>0.49690874410363967</v>
      </c>
    </row>
    <row r="400" spans="2:28" ht="19.5" hidden="1" thickBot="1" x14ac:dyDescent="0.35">
      <c r="B400" s="163"/>
      <c r="C400" s="140" t="s">
        <v>25</v>
      </c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2"/>
    </row>
    <row r="401" spans="2:30" ht="15.6" hidden="1" customHeight="1" x14ac:dyDescent="0.25">
      <c r="B401" s="164"/>
      <c r="C401" s="134" t="s">
        <v>26</v>
      </c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49" t="s">
        <v>729</v>
      </c>
      <c r="AA401" s="149" t="s">
        <v>28</v>
      </c>
      <c r="AB401" s="151" t="s">
        <v>4</v>
      </c>
    </row>
    <row r="402" spans="2:30" ht="15.6" hidden="1" customHeight="1" thickBot="1" x14ac:dyDescent="0.3">
      <c r="B402" s="164"/>
      <c r="C402" s="136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50"/>
      <c r="AA402" s="150"/>
      <c r="AB402" s="152"/>
    </row>
    <row r="403" spans="2:30" ht="15.6" hidden="1" customHeight="1" x14ac:dyDescent="0.25">
      <c r="B403" s="164"/>
      <c r="C403" s="104" t="s">
        <v>878</v>
      </c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24">
        <v>222.32</v>
      </c>
      <c r="AA403" s="24">
        <f>+Z403</f>
        <v>222.32</v>
      </c>
      <c r="AB403" s="171">
        <f>SUM(AA403:AA407)</f>
        <v>725.13</v>
      </c>
    </row>
    <row r="404" spans="2:30" ht="15.6" hidden="1" customHeight="1" x14ac:dyDescent="0.25">
      <c r="B404" s="164"/>
      <c r="C404" s="119" t="s">
        <v>731</v>
      </c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1"/>
      <c r="Z404" s="25">
        <v>102.58</v>
      </c>
      <c r="AA404" s="25">
        <f>+Z404</f>
        <v>102.58</v>
      </c>
      <c r="AB404" s="172"/>
    </row>
    <row r="405" spans="2:30" ht="15.6" hidden="1" customHeight="1" x14ac:dyDescent="0.25">
      <c r="B405" s="164"/>
      <c r="C405" s="119" t="s">
        <v>867</v>
      </c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1"/>
      <c r="Z405" s="34">
        <v>2.67</v>
      </c>
      <c r="AA405" s="25">
        <f>+Z405</f>
        <v>2.67</v>
      </c>
      <c r="AB405" s="172"/>
    </row>
    <row r="406" spans="2:30" ht="15.6" hidden="1" customHeight="1" x14ac:dyDescent="0.25">
      <c r="B406" s="164"/>
      <c r="C406" s="119" t="s">
        <v>732</v>
      </c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1"/>
      <c r="Z406" s="34">
        <v>73.52</v>
      </c>
      <c r="AA406" s="25">
        <f>+Z406</f>
        <v>73.52</v>
      </c>
      <c r="AB406" s="172"/>
    </row>
    <row r="407" spans="2:30" ht="15.6" hidden="1" customHeight="1" thickBot="1" x14ac:dyDescent="0.3">
      <c r="B407" s="164"/>
      <c r="C407" s="116" t="s">
        <v>876</v>
      </c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8"/>
      <c r="Z407" s="34">
        <v>324.04000000000002</v>
      </c>
      <c r="AA407" s="25">
        <f>+Z407</f>
        <v>324.04000000000002</v>
      </c>
      <c r="AB407" s="173"/>
      <c r="AD407" s="81"/>
    </row>
    <row r="408" spans="2:30" ht="15.6" hidden="1" customHeight="1" x14ac:dyDescent="0.25">
      <c r="B408" s="164"/>
      <c r="C408" s="134" t="s">
        <v>27</v>
      </c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49" t="s">
        <v>729</v>
      </c>
      <c r="AA408" s="149" t="s">
        <v>28</v>
      </c>
      <c r="AB408" s="151" t="s">
        <v>4</v>
      </c>
    </row>
    <row r="409" spans="2:30" ht="15.75" hidden="1" thickBot="1" x14ac:dyDescent="0.3">
      <c r="B409" s="164"/>
      <c r="C409" s="136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50"/>
      <c r="AA409" s="150"/>
      <c r="AB409" s="152"/>
    </row>
    <row r="410" spans="2:30" hidden="1" x14ac:dyDescent="0.25">
      <c r="B410" s="164"/>
      <c r="C410" s="104" t="s">
        <v>109</v>
      </c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73">
        <v>5862.24</v>
      </c>
      <c r="AA410" s="73">
        <f>+Z410</f>
        <v>5862.24</v>
      </c>
      <c r="AB410" s="174">
        <f>+SUM(AA410:AA429)</f>
        <v>9211.7799999999988</v>
      </c>
    </row>
    <row r="411" spans="2:30" hidden="1" x14ac:dyDescent="0.25">
      <c r="B411" s="164"/>
      <c r="C411" s="116" t="s">
        <v>740</v>
      </c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8"/>
      <c r="Z411" s="74">
        <v>140.82</v>
      </c>
      <c r="AA411" s="74">
        <f t="shared" ref="AA411:AA429" si="24">+Z411</f>
        <v>140.82</v>
      </c>
      <c r="AB411" s="175"/>
    </row>
    <row r="412" spans="2:30" hidden="1" x14ac:dyDescent="0.25">
      <c r="B412" s="164"/>
      <c r="C412" s="116" t="s">
        <v>739</v>
      </c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8"/>
      <c r="Z412" s="74">
        <v>90.76</v>
      </c>
      <c r="AA412" s="74">
        <f t="shared" si="24"/>
        <v>90.76</v>
      </c>
      <c r="AB412" s="175"/>
    </row>
    <row r="413" spans="2:30" hidden="1" x14ac:dyDescent="0.25">
      <c r="B413" s="164"/>
      <c r="C413" s="119" t="s">
        <v>868</v>
      </c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1"/>
      <c r="Z413" s="74">
        <v>1000.92</v>
      </c>
      <c r="AA413" s="74">
        <f t="shared" si="24"/>
        <v>1000.92</v>
      </c>
      <c r="AB413" s="175"/>
    </row>
    <row r="414" spans="2:30" hidden="1" x14ac:dyDescent="0.25">
      <c r="B414" s="164"/>
      <c r="C414" s="116" t="s">
        <v>736</v>
      </c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8"/>
      <c r="Z414" s="74">
        <v>433.96</v>
      </c>
      <c r="AA414" s="74">
        <f t="shared" si="24"/>
        <v>433.96</v>
      </c>
      <c r="AB414" s="175"/>
    </row>
    <row r="415" spans="2:30" hidden="1" x14ac:dyDescent="0.25">
      <c r="B415" s="164"/>
      <c r="C415" s="116" t="s">
        <v>741</v>
      </c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8"/>
      <c r="Z415" s="74">
        <v>318.02999999999997</v>
      </c>
      <c r="AA415" s="74">
        <f t="shared" si="24"/>
        <v>318.02999999999997</v>
      </c>
      <c r="AB415" s="175"/>
    </row>
    <row r="416" spans="2:30" hidden="1" x14ac:dyDescent="0.25">
      <c r="B416" s="164"/>
      <c r="C416" s="116" t="s">
        <v>733</v>
      </c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74">
        <v>8.94</v>
      </c>
      <c r="AA416" s="74">
        <f t="shared" si="24"/>
        <v>8.94</v>
      </c>
      <c r="AB416" s="175"/>
    </row>
    <row r="417" spans="2:28" hidden="1" x14ac:dyDescent="0.25">
      <c r="B417" s="164"/>
      <c r="C417" s="116" t="s">
        <v>734</v>
      </c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76">
        <v>79.34</v>
      </c>
      <c r="AA417" s="76">
        <f t="shared" si="24"/>
        <v>79.34</v>
      </c>
      <c r="AB417" s="175"/>
    </row>
    <row r="418" spans="2:28" hidden="1" x14ac:dyDescent="0.25">
      <c r="B418" s="164"/>
      <c r="C418" s="122" t="s">
        <v>735</v>
      </c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4"/>
      <c r="Z418" s="92">
        <v>96.47</v>
      </c>
      <c r="AA418" s="92">
        <f t="shared" si="24"/>
        <v>96.47</v>
      </c>
      <c r="AB418" s="175"/>
    </row>
    <row r="419" spans="2:28" hidden="1" x14ac:dyDescent="0.25">
      <c r="B419" s="164"/>
      <c r="C419" s="116" t="s">
        <v>861</v>
      </c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8"/>
      <c r="Z419" s="93">
        <v>59.85</v>
      </c>
      <c r="AA419" s="93">
        <f t="shared" si="24"/>
        <v>59.85</v>
      </c>
      <c r="AB419" s="175"/>
    </row>
    <row r="420" spans="2:28" hidden="1" x14ac:dyDescent="0.25">
      <c r="B420" s="164"/>
      <c r="C420" s="116" t="s">
        <v>862</v>
      </c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8"/>
      <c r="Z420" s="74">
        <v>69.239999999999995</v>
      </c>
      <c r="AA420" s="74">
        <f t="shared" si="24"/>
        <v>69.239999999999995</v>
      </c>
      <c r="AB420" s="175"/>
    </row>
    <row r="421" spans="2:28" hidden="1" x14ac:dyDescent="0.25">
      <c r="B421" s="164"/>
      <c r="C421" s="116" t="s">
        <v>863</v>
      </c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8"/>
      <c r="Z421" s="74">
        <v>0</v>
      </c>
      <c r="AA421" s="74">
        <f t="shared" si="24"/>
        <v>0</v>
      </c>
      <c r="AB421" s="175"/>
    </row>
    <row r="422" spans="2:28" hidden="1" x14ac:dyDescent="0.25">
      <c r="B422" s="164"/>
      <c r="C422" s="116" t="s">
        <v>864</v>
      </c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8"/>
      <c r="Z422" s="74">
        <v>93.91</v>
      </c>
      <c r="AA422" s="74">
        <f t="shared" si="24"/>
        <v>93.91</v>
      </c>
      <c r="AB422" s="175"/>
    </row>
    <row r="423" spans="2:28" hidden="1" x14ac:dyDescent="0.25">
      <c r="B423" s="164"/>
      <c r="C423" s="116" t="s">
        <v>865</v>
      </c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8"/>
      <c r="Z423" s="74">
        <v>29.48</v>
      </c>
      <c r="AA423" s="74">
        <f t="shared" si="24"/>
        <v>29.48</v>
      </c>
      <c r="AB423" s="175"/>
    </row>
    <row r="424" spans="2:28" hidden="1" x14ac:dyDescent="0.25">
      <c r="B424" s="164"/>
      <c r="C424" s="116" t="s">
        <v>866</v>
      </c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8"/>
      <c r="Z424" s="74">
        <v>253.85</v>
      </c>
      <c r="AA424" s="74">
        <f t="shared" si="24"/>
        <v>253.85</v>
      </c>
      <c r="AB424" s="175"/>
    </row>
    <row r="425" spans="2:28" hidden="1" x14ac:dyDescent="0.25">
      <c r="B425" s="164"/>
      <c r="C425" s="116" t="s">
        <v>870</v>
      </c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8"/>
      <c r="Z425" s="74">
        <v>39.549999999999997</v>
      </c>
      <c r="AA425" s="74">
        <f t="shared" si="24"/>
        <v>39.549999999999997</v>
      </c>
      <c r="AB425" s="175"/>
    </row>
    <row r="426" spans="2:28" hidden="1" x14ac:dyDescent="0.25">
      <c r="B426" s="164"/>
      <c r="C426" s="119" t="s">
        <v>869</v>
      </c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1"/>
      <c r="Z426" s="74">
        <v>49.34</v>
      </c>
      <c r="AA426" s="74">
        <f t="shared" si="24"/>
        <v>49.34</v>
      </c>
      <c r="AB426" s="175"/>
    </row>
    <row r="427" spans="2:28" hidden="1" x14ac:dyDescent="0.25">
      <c r="B427" s="164"/>
      <c r="C427" s="116" t="s">
        <v>737</v>
      </c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8"/>
      <c r="Z427" s="74">
        <v>130.49</v>
      </c>
      <c r="AA427" s="74">
        <f t="shared" si="24"/>
        <v>130.49</v>
      </c>
      <c r="AB427" s="175"/>
    </row>
    <row r="428" spans="2:28" hidden="1" x14ac:dyDescent="0.25">
      <c r="B428" s="164"/>
      <c r="C428" s="119" t="s">
        <v>871</v>
      </c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1"/>
      <c r="Z428" s="74">
        <v>42.53</v>
      </c>
      <c r="AA428" s="74">
        <f t="shared" si="24"/>
        <v>42.53</v>
      </c>
      <c r="AB428" s="175"/>
    </row>
    <row r="429" spans="2:28" ht="15.75" hidden="1" thickBot="1" x14ac:dyDescent="0.3">
      <c r="B429" s="165"/>
      <c r="C429" s="119" t="s">
        <v>738</v>
      </c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1"/>
      <c r="Z429" s="75">
        <v>412.06</v>
      </c>
      <c r="AA429" s="76">
        <f t="shared" si="24"/>
        <v>412.06</v>
      </c>
      <c r="AB429" s="176"/>
    </row>
    <row r="430" spans="2:28" x14ac:dyDescent="0.25">
      <c r="B430" s="6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15"/>
      <c r="AA430" s="32"/>
    </row>
    <row r="431" spans="2:28" ht="15.75" thickBot="1" x14ac:dyDescent="0.3"/>
    <row r="432" spans="2:28" ht="15.95" customHeight="1" thickBot="1" x14ac:dyDescent="0.3">
      <c r="B432" s="40"/>
      <c r="C432" s="153" t="s">
        <v>24</v>
      </c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4"/>
    </row>
    <row r="433" spans="2:28" ht="15.95" customHeight="1" thickBot="1" x14ac:dyDescent="0.3">
      <c r="B433" s="41"/>
      <c r="C433" s="110" t="s">
        <v>0</v>
      </c>
      <c r="D433" s="113" t="s">
        <v>1</v>
      </c>
      <c r="E433" s="126" t="s">
        <v>2</v>
      </c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8" t="s">
        <v>3</v>
      </c>
      <c r="AA433" s="131" t="s">
        <v>4</v>
      </c>
      <c r="AB433" s="94" t="s">
        <v>5</v>
      </c>
    </row>
    <row r="434" spans="2:28" ht="15.75" thickBot="1" x14ac:dyDescent="0.3">
      <c r="B434" s="41"/>
      <c r="C434" s="111"/>
      <c r="D434" s="114"/>
      <c r="E434" s="10" t="s">
        <v>30</v>
      </c>
      <c r="F434" s="9" t="s">
        <v>31</v>
      </c>
      <c r="G434" s="9" t="s">
        <v>32</v>
      </c>
      <c r="H434" s="9" t="s">
        <v>33</v>
      </c>
      <c r="I434" s="9" t="s">
        <v>34</v>
      </c>
      <c r="J434" s="9" t="s">
        <v>35</v>
      </c>
      <c r="K434" s="9" t="s">
        <v>36</v>
      </c>
      <c r="L434" s="9" t="s">
        <v>38</v>
      </c>
      <c r="M434" s="9" t="s">
        <v>39</v>
      </c>
      <c r="N434" s="9" t="s">
        <v>40</v>
      </c>
      <c r="O434" s="9" t="s">
        <v>41</v>
      </c>
      <c r="P434" s="9" t="s">
        <v>42</v>
      </c>
      <c r="Q434" s="9" t="s">
        <v>43</v>
      </c>
      <c r="R434" s="9" t="s">
        <v>44</v>
      </c>
      <c r="S434" s="9" t="s">
        <v>45</v>
      </c>
      <c r="T434" s="9" t="s">
        <v>46</v>
      </c>
      <c r="U434" s="9" t="s">
        <v>47</v>
      </c>
      <c r="V434" s="9" t="s">
        <v>724</v>
      </c>
      <c r="W434" s="9" t="s">
        <v>726</v>
      </c>
      <c r="X434" s="9" t="s">
        <v>727</v>
      </c>
      <c r="Y434" s="9"/>
      <c r="Z434" s="129"/>
      <c r="AA434" s="132"/>
      <c r="AB434" s="95"/>
    </row>
    <row r="435" spans="2:28" ht="18" thickBot="1" x14ac:dyDescent="0.3">
      <c r="B435" s="41"/>
      <c r="C435" s="112"/>
      <c r="D435" s="115"/>
      <c r="E435" s="11" t="s">
        <v>107</v>
      </c>
      <c r="F435" s="12" t="s">
        <v>107</v>
      </c>
      <c r="G435" s="12" t="s">
        <v>107</v>
      </c>
      <c r="H435" s="12" t="s">
        <v>107</v>
      </c>
      <c r="I435" s="12" t="s">
        <v>107</v>
      </c>
      <c r="J435" s="12" t="s">
        <v>107</v>
      </c>
      <c r="K435" s="12" t="s">
        <v>107</v>
      </c>
      <c r="L435" s="12" t="s">
        <v>107</v>
      </c>
      <c r="M435" s="12" t="s">
        <v>107</v>
      </c>
      <c r="N435" s="12" t="s">
        <v>107</v>
      </c>
      <c r="O435" s="12" t="s">
        <v>107</v>
      </c>
      <c r="P435" s="12" t="s">
        <v>107</v>
      </c>
      <c r="Q435" s="12" t="s">
        <v>107</v>
      </c>
      <c r="R435" s="12" t="s">
        <v>107</v>
      </c>
      <c r="S435" s="12" t="s">
        <v>107</v>
      </c>
      <c r="T435" s="12" t="s">
        <v>107</v>
      </c>
      <c r="U435" s="12" t="s">
        <v>107</v>
      </c>
      <c r="V435" s="12" t="s">
        <v>107</v>
      </c>
      <c r="W435" s="12" t="s">
        <v>107</v>
      </c>
      <c r="X435" s="12" t="s">
        <v>107</v>
      </c>
      <c r="Y435" s="12"/>
      <c r="Z435" s="130"/>
      <c r="AA435" s="133"/>
      <c r="AB435" s="21" t="s">
        <v>6</v>
      </c>
    </row>
    <row r="436" spans="2:28" x14ac:dyDescent="0.25">
      <c r="B436" s="41"/>
      <c r="C436" s="88" t="s">
        <v>747</v>
      </c>
      <c r="D436" s="28" t="s">
        <v>743</v>
      </c>
      <c r="E436" s="29">
        <v>18.25</v>
      </c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13">
        <f t="shared" ref="Z436:Z499" si="25">SUM(E436:Y436)</f>
        <v>18.25</v>
      </c>
      <c r="AB436" s="22">
        <f t="shared" ref="AB436:AB499" si="26">+Z436/$AA$877</f>
        <v>6.7843689626086471E-4</v>
      </c>
    </row>
    <row r="437" spans="2:28" x14ac:dyDescent="0.25">
      <c r="B437" s="41"/>
      <c r="C437" s="88" t="s">
        <v>748</v>
      </c>
      <c r="D437" s="28" t="s">
        <v>743</v>
      </c>
      <c r="E437" s="31">
        <v>18.09</v>
      </c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13">
        <f t="shared" si="25"/>
        <v>18.09</v>
      </c>
      <c r="AA437" s="38"/>
      <c r="AB437" s="22">
        <f t="shared" si="26"/>
        <v>6.7248895634844071E-4</v>
      </c>
    </row>
    <row r="438" spans="2:28" x14ac:dyDescent="0.25">
      <c r="B438" s="41"/>
      <c r="C438" s="88" t="s">
        <v>749</v>
      </c>
      <c r="D438" s="28" t="s">
        <v>743</v>
      </c>
      <c r="E438" s="31">
        <v>18.04</v>
      </c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13">
        <f t="shared" si="25"/>
        <v>18.04</v>
      </c>
      <c r="AA438" s="38"/>
      <c r="AB438" s="22">
        <f t="shared" si="26"/>
        <v>6.7063022512580815E-4</v>
      </c>
    </row>
    <row r="439" spans="2:28" x14ac:dyDescent="0.25">
      <c r="B439" s="41"/>
      <c r="C439" s="88" t="s">
        <v>750</v>
      </c>
      <c r="D439" s="28" t="s">
        <v>743</v>
      </c>
      <c r="E439" s="31">
        <v>18.05</v>
      </c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13">
        <f t="shared" si="25"/>
        <v>18.05</v>
      </c>
      <c r="AA439" s="38"/>
      <c r="AB439" s="22">
        <f t="shared" si="26"/>
        <v>6.7100197137033471E-4</v>
      </c>
    </row>
    <row r="440" spans="2:28" x14ac:dyDescent="0.25">
      <c r="B440" s="41"/>
      <c r="C440" s="88" t="s">
        <v>751</v>
      </c>
      <c r="D440" s="28" t="s">
        <v>743</v>
      </c>
      <c r="E440" s="31">
        <v>18.09</v>
      </c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13">
        <f t="shared" si="25"/>
        <v>18.09</v>
      </c>
      <c r="AA440" s="38"/>
      <c r="AB440" s="22">
        <f t="shared" si="26"/>
        <v>6.7248895634844071E-4</v>
      </c>
    </row>
    <row r="441" spans="2:28" x14ac:dyDescent="0.25">
      <c r="B441" s="41"/>
      <c r="C441" s="88" t="s">
        <v>752</v>
      </c>
      <c r="D441" s="28" t="s">
        <v>743</v>
      </c>
      <c r="E441" s="31">
        <v>18.04</v>
      </c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13">
        <f t="shared" si="25"/>
        <v>18.04</v>
      </c>
      <c r="AA441" s="38"/>
      <c r="AB441" s="22">
        <f t="shared" si="26"/>
        <v>6.7063022512580815E-4</v>
      </c>
    </row>
    <row r="442" spans="2:28" x14ac:dyDescent="0.25">
      <c r="B442" s="41"/>
      <c r="C442" s="88" t="s">
        <v>753</v>
      </c>
      <c r="D442" s="28" t="s">
        <v>743</v>
      </c>
      <c r="E442" s="31">
        <v>18.05</v>
      </c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13">
        <f t="shared" si="25"/>
        <v>18.05</v>
      </c>
      <c r="AA442" s="38"/>
      <c r="AB442" s="22">
        <f t="shared" si="26"/>
        <v>6.7100197137033471E-4</v>
      </c>
    </row>
    <row r="443" spans="2:28" x14ac:dyDescent="0.25">
      <c r="B443" s="41"/>
      <c r="C443" s="88" t="s">
        <v>754</v>
      </c>
      <c r="D443" s="28" t="s">
        <v>743</v>
      </c>
      <c r="E443" s="31">
        <v>18.09</v>
      </c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13">
        <f t="shared" si="25"/>
        <v>18.09</v>
      </c>
      <c r="AA443" s="38"/>
      <c r="AB443" s="22">
        <f t="shared" si="26"/>
        <v>6.7248895634844071E-4</v>
      </c>
    </row>
    <row r="444" spans="2:28" x14ac:dyDescent="0.25">
      <c r="B444" s="41"/>
      <c r="C444" s="88" t="s">
        <v>755</v>
      </c>
      <c r="D444" s="28" t="s">
        <v>743</v>
      </c>
      <c r="E444" s="31">
        <v>18.04</v>
      </c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13">
        <f t="shared" si="25"/>
        <v>18.04</v>
      </c>
      <c r="AA444" s="38"/>
      <c r="AB444" s="22">
        <f t="shared" si="26"/>
        <v>6.7063022512580815E-4</v>
      </c>
    </row>
    <row r="445" spans="2:28" x14ac:dyDescent="0.25">
      <c r="B445" s="36"/>
      <c r="C445" s="88" t="s">
        <v>756</v>
      </c>
      <c r="D445" s="28" t="s">
        <v>743</v>
      </c>
      <c r="E445" s="31">
        <v>18.05</v>
      </c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13">
        <f t="shared" si="25"/>
        <v>18.05</v>
      </c>
      <c r="AA445" s="38"/>
      <c r="AB445" s="22">
        <f t="shared" si="26"/>
        <v>6.7100197137033471E-4</v>
      </c>
    </row>
    <row r="446" spans="2:28" x14ac:dyDescent="0.25">
      <c r="B446" s="36"/>
      <c r="C446" s="88" t="s">
        <v>757</v>
      </c>
      <c r="D446" s="28" t="s">
        <v>742</v>
      </c>
      <c r="E446" s="31">
        <v>14.85</v>
      </c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13">
        <f t="shared" si="25"/>
        <v>14.85</v>
      </c>
      <c r="AA446" s="38"/>
      <c r="AB446" s="22">
        <f t="shared" si="26"/>
        <v>5.5204317312185431E-4</v>
      </c>
    </row>
    <row r="447" spans="2:28" x14ac:dyDescent="0.25">
      <c r="B447" s="41"/>
      <c r="C447" s="88" t="s">
        <v>758</v>
      </c>
      <c r="D447" s="30" t="s">
        <v>37</v>
      </c>
      <c r="E447" s="31">
        <v>6.06</v>
      </c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13">
        <f t="shared" si="25"/>
        <v>6.06</v>
      </c>
      <c r="AA447" s="38"/>
      <c r="AB447" s="22">
        <f t="shared" si="26"/>
        <v>2.2527822418305974E-4</v>
      </c>
    </row>
    <row r="448" spans="2:28" x14ac:dyDescent="0.25">
      <c r="B448" s="41"/>
      <c r="C448" s="88" t="s">
        <v>759</v>
      </c>
      <c r="D448" s="30" t="s">
        <v>37</v>
      </c>
      <c r="E448" s="31">
        <v>5.05</v>
      </c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13">
        <f t="shared" si="25"/>
        <v>5.05</v>
      </c>
      <c r="AA448" s="38"/>
      <c r="AB448" s="22">
        <f t="shared" si="26"/>
        <v>1.8773185348588311E-4</v>
      </c>
    </row>
    <row r="449" spans="2:28" x14ac:dyDescent="0.25">
      <c r="B449" s="41"/>
      <c r="C449" s="88" t="s">
        <v>760</v>
      </c>
      <c r="D449" s="30" t="s">
        <v>37</v>
      </c>
      <c r="E449" s="31">
        <v>3.88</v>
      </c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13">
        <f t="shared" si="25"/>
        <v>3.88</v>
      </c>
      <c r="AA449" s="38"/>
      <c r="AB449" s="22">
        <f t="shared" si="26"/>
        <v>1.4423754287628247E-4</v>
      </c>
    </row>
    <row r="450" spans="2:28" x14ac:dyDescent="0.25">
      <c r="B450" s="41"/>
      <c r="C450" s="88" t="s">
        <v>761</v>
      </c>
      <c r="D450" s="30" t="s">
        <v>37</v>
      </c>
      <c r="E450" s="31">
        <v>3.98</v>
      </c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13">
        <f t="shared" si="25"/>
        <v>3.98</v>
      </c>
      <c r="AA450" s="38"/>
      <c r="AB450" s="22">
        <f t="shared" si="26"/>
        <v>1.479550053215475E-4</v>
      </c>
    </row>
    <row r="451" spans="2:28" x14ac:dyDescent="0.25">
      <c r="B451" s="41"/>
      <c r="C451" s="88" t="s">
        <v>762</v>
      </c>
      <c r="D451" s="30" t="s">
        <v>743</v>
      </c>
      <c r="E451" s="31">
        <v>23.34</v>
      </c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13">
        <f t="shared" si="25"/>
        <v>23.34</v>
      </c>
      <c r="AA451" s="38"/>
      <c r="AB451" s="22">
        <f t="shared" si="26"/>
        <v>8.6765573472485393E-4</v>
      </c>
    </row>
    <row r="452" spans="2:28" x14ac:dyDescent="0.25">
      <c r="B452" s="41"/>
      <c r="C452" s="88" t="s">
        <v>763</v>
      </c>
      <c r="D452" s="28" t="s">
        <v>742</v>
      </c>
      <c r="E452" s="31">
        <v>15.39</v>
      </c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13">
        <f t="shared" si="25"/>
        <v>15.39</v>
      </c>
      <c r="AA452" s="38"/>
      <c r="AB452" s="22">
        <f t="shared" si="26"/>
        <v>5.7211747032628543E-4</v>
      </c>
    </row>
    <row r="453" spans="2:28" x14ac:dyDescent="0.25">
      <c r="B453" s="41"/>
      <c r="C453" s="88" t="s">
        <v>764</v>
      </c>
      <c r="D453" s="30" t="s">
        <v>742</v>
      </c>
      <c r="E453" s="31">
        <v>15.39</v>
      </c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13">
        <f t="shared" si="25"/>
        <v>15.39</v>
      </c>
      <c r="AA453" s="38"/>
      <c r="AB453" s="22">
        <f t="shared" si="26"/>
        <v>5.7211747032628543E-4</v>
      </c>
    </row>
    <row r="454" spans="2:28" x14ac:dyDescent="0.25">
      <c r="B454" s="41"/>
      <c r="C454" s="88" t="s">
        <v>765</v>
      </c>
      <c r="D454" s="30" t="s">
        <v>742</v>
      </c>
      <c r="E454" s="31">
        <v>15.39</v>
      </c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13">
        <f t="shared" si="25"/>
        <v>15.39</v>
      </c>
      <c r="AA454" s="38"/>
      <c r="AB454" s="22">
        <f t="shared" si="26"/>
        <v>5.7211747032628543E-4</v>
      </c>
    </row>
    <row r="455" spans="2:28" x14ac:dyDescent="0.25">
      <c r="B455" s="41"/>
      <c r="C455" s="88" t="s">
        <v>766</v>
      </c>
      <c r="D455" s="30" t="s">
        <v>742</v>
      </c>
      <c r="E455" s="31">
        <v>15.39</v>
      </c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13">
        <f t="shared" si="25"/>
        <v>15.39</v>
      </c>
      <c r="AA455" s="38"/>
      <c r="AB455" s="22">
        <f t="shared" si="26"/>
        <v>5.7211747032628543E-4</v>
      </c>
    </row>
    <row r="456" spans="2:28" x14ac:dyDescent="0.25">
      <c r="B456" s="41"/>
      <c r="C456" s="88" t="s">
        <v>767</v>
      </c>
      <c r="D456" s="30" t="s">
        <v>742</v>
      </c>
      <c r="E456" s="31">
        <v>15.39</v>
      </c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13">
        <f t="shared" si="25"/>
        <v>15.39</v>
      </c>
      <c r="AA456" s="38"/>
      <c r="AB456" s="22">
        <f t="shared" si="26"/>
        <v>5.7211747032628543E-4</v>
      </c>
    </row>
    <row r="457" spans="2:28" x14ac:dyDescent="0.25">
      <c r="B457" s="41"/>
      <c r="C457" s="88" t="s">
        <v>768</v>
      </c>
      <c r="D457" s="30" t="s">
        <v>742</v>
      </c>
      <c r="E457" s="31">
        <v>15.39</v>
      </c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13">
        <f t="shared" si="25"/>
        <v>15.39</v>
      </c>
      <c r="AA457" s="38"/>
      <c r="AB457" s="22">
        <f t="shared" si="26"/>
        <v>5.7211747032628543E-4</v>
      </c>
    </row>
    <row r="458" spans="2:28" x14ac:dyDescent="0.25">
      <c r="B458" s="41"/>
      <c r="C458" s="88" t="s">
        <v>769</v>
      </c>
      <c r="D458" s="30" t="s">
        <v>742</v>
      </c>
      <c r="E458" s="31">
        <v>17.52</v>
      </c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13">
        <f t="shared" si="25"/>
        <v>17.52</v>
      </c>
      <c r="AA458" s="38"/>
      <c r="AB458" s="22">
        <f t="shared" si="26"/>
        <v>6.5129942041043014E-4</v>
      </c>
    </row>
    <row r="459" spans="2:28" x14ac:dyDescent="0.25">
      <c r="B459" s="41"/>
      <c r="C459" s="88" t="s">
        <v>770</v>
      </c>
      <c r="D459" s="30" t="s">
        <v>743</v>
      </c>
      <c r="E459" s="31">
        <v>18.09</v>
      </c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13">
        <f t="shared" si="25"/>
        <v>18.09</v>
      </c>
      <c r="AA459" s="38"/>
      <c r="AB459" s="22">
        <f t="shared" si="26"/>
        <v>6.7248895634844071E-4</v>
      </c>
    </row>
    <row r="460" spans="2:28" x14ac:dyDescent="0.25">
      <c r="B460" s="41"/>
      <c r="C460" s="88" t="s">
        <v>771</v>
      </c>
      <c r="D460" s="28" t="s">
        <v>743</v>
      </c>
      <c r="E460" s="31">
        <v>18.239999999999998</v>
      </c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13">
        <f t="shared" si="25"/>
        <v>18.239999999999998</v>
      </c>
      <c r="AA460" s="38"/>
      <c r="AB460" s="22">
        <f t="shared" si="26"/>
        <v>6.7806515001633816E-4</v>
      </c>
    </row>
    <row r="461" spans="2:28" x14ac:dyDescent="0.25">
      <c r="B461" s="41"/>
      <c r="C461" s="88" t="s">
        <v>772</v>
      </c>
      <c r="D461" s="28" t="s">
        <v>743</v>
      </c>
      <c r="E461" s="31">
        <v>18.239999999999998</v>
      </c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13">
        <f t="shared" si="25"/>
        <v>18.239999999999998</v>
      </c>
      <c r="AA461" s="38"/>
      <c r="AB461" s="22">
        <f t="shared" si="26"/>
        <v>6.7806515001633816E-4</v>
      </c>
    </row>
    <row r="462" spans="2:28" x14ac:dyDescent="0.25">
      <c r="B462" s="41"/>
      <c r="C462" s="88" t="s">
        <v>773</v>
      </c>
      <c r="D462" s="28" t="s">
        <v>743</v>
      </c>
      <c r="E462" s="31">
        <v>18.09</v>
      </c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13">
        <f t="shared" si="25"/>
        <v>18.09</v>
      </c>
      <c r="AA462" s="38"/>
      <c r="AB462" s="22">
        <f t="shared" si="26"/>
        <v>6.7248895634844071E-4</v>
      </c>
    </row>
    <row r="463" spans="2:28" x14ac:dyDescent="0.25">
      <c r="B463" s="41"/>
      <c r="C463" s="88" t="s">
        <v>774</v>
      </c>
      <c r="D463" s="28" t="s">
        <v>743</v>
      </c>
      <c r="E463" s="31">
        <v>19.600000000000001</v>
      </c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13">
        <f t="shared" si="25"/>
        <v>19.600000000000001</v>
      </c>
      <c r="AA463" s="38"/>
      <c r="AB463" s="22">
        <f t="shared" si="26"/>
        <v>7.2862263927194252E-4</v>
      </c>
    </row>
    <row r="464" spans="2:28" x14ac:dyDescent="0.25">
      <c r="B464" s="41"/>
      <c r="C464" s="88" t="s">
        <v>775</v>
      </c>
      <c r="D464" s="28" t="s">
        <v>37</v>
      </c>
      <c r="E464" s="31">
        <v>2.87</v>
      </c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13">
        <f t="shared" si="25"/>
        <v>2.87</v>
      </c>
      <c r="AA464" s="38"/>
      <c r="AB464" s="22">
        <f t="shared" si="26"/>
        <v>1.0669117217910586E-4</v>
      </c>
    </row>
    <row r="465" spans="2:28" x14ac:dyDescent="0.25">
      <c r="B465" s="41"/>
      <c r="C465" s="88" t="s">
        <v>776</v>
      </c>
      <c r="D465" s="30" t="s">
        <v>37</v>
      </c>
      <c r="E465" s="31">
        <v>5.13</v>
      </c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13">
        <f t="shared" si="25"/>
        <v>5.13</v>
      </c>
      <c r="AA465" s="38"/>
      <c r="AB465" s="22">
        <f t="shared" si="26"/>
        <v>1.9070582344209513E-4</v>
      </c>
    </row>
    <row r="466" spans="2:28" x14ac:dyDescent="0.25">
      <c r="B466" s="41"/>
      <c r="C466" s="88" t="s">
        <v>777</v>
      </c>
      <c r="D466" s="30" t="s">
        <v>37</v>
      </c>
      <c r="E466" s="31">
        <v>5.13</v>
      </c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13">
        <f t="shared" si="25"/>
        <v>5.13</v>
      </c>
      <c r="AA466" s="38"/>
      <c r="AB466" s="22">
        <f t="shared" si="26"/>
        <v>1.9070582344209513E-4</v>
      </c>
    </row>
    <row r="467" spans="2:28" x14ac:dyDescent="0.25">
      <c r="B467" s="41"/>
      <c r="C467" s="88" t="s">
        <v>778</v>
      </c>
      <c r="D467" s="30" t="s">
        <v>37</v>
      </c>
      <c r="E467" s="31">
        <v>4.46</v>
      </c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13">
        <f t="shared" si="25"/>
        <v>4.46</v>
      </c>
      <c r="AA467" s="38"/>
      <c r="AB467" s="22">
        <f t="shared" si="26"/>
        <v>1.6579882505881954E-4</v>
      </c>
    </row>
    <row r="468" spans="2:28" x14ac:dyDescent="0.25">
      <c r="B468" s="41"/>
      <c r="C468" s="88" t="s">
        <v>779</v>
      </c>
      <c r="D468" s="30" t="s">
        <v>743</v>
      </c>
      <c r="E468" s="31">
        <v>18.09</v>
      </c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13">
        <f t="shared" si="25"/>
        <v>18.09</v>
      </c>
      <c r="AA468" s="38"/>
      <c r="AB468" s="22">
        <f t="shared" si="26"/>
        <v>6.7248895634844071E-4</v>
      </c>
    </row>
    <row r="469" spans="2:28" x14ac:dyDescent="0.25">
      <c r="B469" s="41"/>
      <c r="C469" s="88" t="s">
        <v>780</v>
      </c>
      <c r="D469" s="28" t="s">
        <v>743</v>
      </c>
      <c r="E469" s="31">
        <v>18.239999999999998</v>
      </c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13">
        <f t="shared" si="25"/>
        <v>18.239999999999998</v>
      </c>
      <c r="AA469" s="38"/>
      <c r="AB469" s="22">
        <f t="shared" si="26"/>
        <v>6.7806515001633816E-4</v>
      </c>
    </row>
    <row r="470" spans="2:28" x14ac:dyDescent="0.25">
      <c r="B470" s="41"/>
      <c r="C470" s="88" t="s">
        <v>781</v>
      </c>
      <c r="D470" s="28" t="s">
        <v>743</v>
      </c>
      <c r="E470" s="31">
        <v>18.239999999999998</v>
      </c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13">
        <f t="shared" si="25"/>
        <v>18.239999999999998</v>
      </c>
      <c r="AA470" s="38"/>
      <c r="AB470" s="22">
        <f t="shared" si="26"/>
        <v>6.7806515001633816E-4</v>
      </c>
    </row>
    <row r="471" spans="2:28" x14ac:dyDescent="0.25">
      <c r="B471" s="41"/>
      <c r="C471" s="88" t="s">
        <v>782</v>
      </c>
      <c r="D471" s="28" t="s">
        <v>743</v>
      </c>
      <c r="E471" s="31">
        <v>18.09</v>
      </c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13">
        <f t="shared" si="25"/>
        <v>18.09</v>
      </c>
      <c r="AA471" s="38"/>
      <c r="AB471" s="22">
        <f t="shared" si="26"/>
        <v>6.7248895634844071E-4</v>
      </c>
    </row>
    <row r="472" spans="2:28" x14ac:dyDescent="0.25">
      <c r="B472" s="41"/>
      <c r="C472" s="88" t="s">
        <v>783</v>
      </c>
      <c r="D472" s="28" t="s">
        <v>743</v>
      </c>
      <c r="E472" s="31">
        <v>18.54</v>
      </c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13">
        <f t="shared" si="25"/>
        <v>18.54</v>
      </c>
      <c r="AA472" s="38"/>
      <c r="AB472" s="22">
        <f t="shared" si="26"/>
        <v>6.8921753735213327E-4</v>
      </c>
    </row>
    <row r="473" spans="2:28" x14ac:dyDescent="0.25">
      <c r="B473" s="41"/>
      <c r="C473" s="88" t="s">
        <v>784</v>
      </c>
      <c r="D473" s="28" t="s">
        <v>743</v>
      </c>
      <c r="E473" s="31"/>
      <c r="F473" s="31">
        <v>18.829999999999998</v>
      </c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13">
        <f t="shared" si="25"/>
        <v>18.829999999999998</v>
      </c>
      <c r="AA473" s="38"/>
      <c r="AB473" s="22">
        <f t="shared" si="26"/>
        <v>6.9999817844340173E-4</v>
      </c>
    </row>
    <row r="474" spans="2:28" x14ac:dyDescent="0.25">
      <c r="B474" s="41"/>
      <c r="C474" s="88" t="s">
        <v>785</v>
      </c>
      <c r="D474" s="28" t="s">
        <v>743</v>
      </c>
      <c r="E474" s="31"/>
      <c r="F474" s="31">
        <v>18.63</v>
      </c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13">
        <f t="shared" si="25"/>
        <v>18.63</v>
      </c>
      <c r="AA474" s="38"/>
      <c r="AB474" s="22">
        <f t="shared" si="26"/>
        <v>6.9256325355287172E-4</v>
      </c>
    </row>
    <row r="475" spans="2:28" x14ac:dyDescent="0.25">
      <c r="B475" s="41"/>
      <c r="C475" s="88" t="s">
        <v>786</v>
      </c>
      <c r="D475" s="28" t="s">
        <v>743</v>
      </c>
      <c r="E475" s="31"/>
      <c r="F475" s="31">
        <v>18.61</v>
      </c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13">
        <f t="shared" si="25"/>
        <v>18.61</v>
      </c>
      <c r="AA475" s="38"/>
      <c r="AB475" s="22">
        <f t="shared" si="26"/>
        <v>6.9181976106381883E-4</v>
      </c>
    </row>
    <row r="476" spans="2:28" x14ac:dyDescent="0.25">
      <c r="B476" s="41"/>
      <c r="C476" s="88" t="s">
        <v>787</v>
      </c>
      <c r="D476" s="28" t="s">
        <v>743</v>
      </c>
      <c r="E476" s="31"/>
      <c r="F476" s="31">
        <v>18.62</v>
      </c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13">
        <f t="shared" si="25"/>
        <v>18.62</v>
      </c>
      <c r="AA476" s="38"/>
      <c r="AB476" s="22">
        <f t="shared" si="26"/>
        <v>6.9219150730834538E-4</v>
      </c>
    </row>
    <row r="477" spans="2:28" x14ac:dyDescent="0.25">
      <c r="B477" s="41"/>
      <c r="C477" s="88" t="s">
        <v>788</v>
      </c>
      <c r="D477" s="28" t="s">
        <v>743</v>
      </c>
      <c r="E477" s="31"/>
      <c r="F477" s="31">
        <v>18.63</v>
      </c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13">
        <f t="shared" si="25"/>
        <v>18.63</v>
      </c>
      <c r="AA477" s="38"/>
      <c r="AB477" s="22">
        <f t="shared" si="26"/>
        <v>6.9256325355287172E-4</v>
      </c>
    </row>
    <row r="478" spans="2:28" x14ac:dyDescent="0.25">
      <c r="B478" s="41"/>
      <c r="C478" s="88" t="s">
        <v>789</v>
      </c>
      <c r="D478" s="28" t="s">
        <v>743</v>
      </c>
      <c r="E478" s="31"/>
      <c r="F478" s="31">
        <v>18.61</v>
      </c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13">
        <f t="shared" si="25"/>
        <v>18.61</v>
      </c>
      <c r="AA478" s="38"/>
      <c r="AB478" s="22">
        <f t="shared" si="26"/>
        <v>6.9181976106381883E-4</v>
      </c>
    </row>
    <row r="479" spans="2:28" x14ac:dyDescent="0.25">
      <c r="B479" s="41"/>
      <c r="C479" s="88" t="s">
        <v>790</v>
      </c>
      <c r="D479" s="28" t="s">
        <v>743</v>
      </c>
      <c r="E479" s="31"/>
      <c r="F479" s="31">
        <v>18.62</v>
      </c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13">
        <f t="shared" si="25"/>
        <v>18.62</v>
      </c>
      <c r="AA479" s="38"/>
      <c r="AB479" s="22">
        <f t="shared" si="26"/>
        <v>6.9219150730834538E-4</v>
      </c>
    </row>
    <row r="480" spans="2:28" x14ac:dyDescent="0.25">
      <c r="B480" s="41"/>
      <c r="C480" s="88" t="s">
        <v>791</v>
      </c>
      <c r="D480" s="28" t="s">
        <v>743</v>
      </c>
      <c r="E480" s="31"/>
      <c r="F480" s="31">
        <v>18.63</v>
      </c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13">
        <f t="shared" si="25"/>
        <v>18.63</v>
      </c>
      <c r="AA480" s="38"/>
      <c r="AB480" s="22">
        <f t="shared" si="26"/>
        <v>6.9256325355287172E-4</v>
      </c>
    </row>
    <row r="481" spans="2:28" x14ac:dyDescent="0.25">
      <c r="B481" s="41"/>
      <c r="C481" s="88" t="s">
        <v>792</v>
      </c>
      <c r="D481" s="28" t="s">
        <v>743</v>
      </c>
      <c r="E481" s="31"/>
      <c r="F481" s="31">
        <v>18.61</v>
      </c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13">
        <f t="shared" si="25"/>
        <v>18.61</v>
      </c>
      <c r="AA481" s="38"/>
      <c r="AB481" s="22">
        <f t="shared" si="26"/>
        <v>6.9181976106381883E-4</v>
      </c>
    </row>
    <row r="482" spans="2:28" x14ac:dyDescent="0.25">
      <c r="B482" s="41"/>
      <c r="C482" s="88" t="s">
        <v>793</v>
      </c>
      <c r="D482" s="28" t="s">
        <v>743</v>
      </c>
      <c r="E482" s="31"/>
      <c r="F482" s="31">
        <v>17.93</v>
      </c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13">
        <f t="shared" si="25"/>
        <v>17.93</v>
      </c>
      <c r="AA482" s="38"/>
      <c r="AB482" s="22">
        <f t="shared" si="26"/>
        <v>6.6654101643601671E-4</v>
      </c>
    </row>
    <row r="483" spans="2:28" x14ac:dyDescent="0.25">
      <c r="B483" s="41"/>
      <c r="C483" s="88" t="s">
        <v>794</v>
      </c>
      <c r="D483" s="28" t="s">
        <v>743</v>
      </c>
      <c r="E483" s="31"/>
      <c r="F483" s="31">
        <v>17.940000000000001</v>
      </c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13">
        <f t="shared" si="25"/>
        <v>17.940000000000001</v>
      </c>
      <c r="AA483" s="38"/>
      <c r="AB483" s="22">
        <f t="shared" si="26"/>
        <v>6.6691276268054326E-4</v>
      </c>
    </row>
    <row r="484" spans="2:28" x14ac:dyDescent="0.25">
      <c r="B484" s="41"/>
      <c r="C484" s="88" t="s">
        <v>795</v>
      </c>
      <c r="D484" s="28" t="s">
        <v>743</v>
      </c>
      <c r="E484" s="31"/>
      <c r="F484" s="31">
        <v>19.66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13">
        <f t="shared" si="25"/>
        <v>19.66</v>
      </c>
      <c r="AA484" s="38"/>
      <c r="AB484" s="22">
        <f t="shared" si="26"/>
        <v>7.3085311673910141E-4</v>
      </c>
    </row>
    <row r="485" spans="2:28" x14ac:dyDescent="0.25">
      <c r="B485" s="41"/>
      <c r="C485" s="88" t="s">
        <v>796</v>
      </c>
      <c r="D485" s="28" t="s">
        <v>37</v>
      </c>
      <c r="E485" s="31"/>
      <c r="F485" s="31">
        <v>6.06</v>
      </c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13">
        <f t="shared" si="25"/>
        <v>6.06</v>
      </c>
      <c r="AA485" s="38"/>
      <c r="AB485" s="22">
        <f t="shared" si="26"/>
        <v>2.2527822418305974E-4</v>
      </c>
    </row>
    <row r="486" spans="2:28" x14ac:dyDescent="0.25">
      <c r="B486" s="41"/>
      <c r="C486" s="88" t="s">
        <v>797</v>
      </c>
      <c r="D486" s="28" t="s">
        <v>37</v>
      </c>
      <c r="E486" s="31"/>
      <c r="F486" s="31">
        <v>5.05</v>
      </c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13">
        <f t="shared" si="25"/>
        <v>5.05</v>
      </c>
      <c r="AA486" s="38"/>
      <c r="AB486" s="22">
        <f t="shared" si="26"/>
        <v>1.8773185348588311E-4</v>
      </c>
    </row>
    <row r="487" spans="2:28" x14ac:dyDescent="0.25">
      <c r="B487" s="41"/>
      <c r="C487" s="88" t="s">
        <v>798</v>
      </c>
      <c r="D487" s="30" t="s">
        <v>37</v>
      </c>
      <c r="E487" s="31"/>
      <c r="F487" s="31">
        <v>3.88</v>
      </c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13">
        <f t="shared" si="25"/>
        <v>3.88</v>
      </c>
      <c r="AA487" s="38"/>
      <c r="AB487" s="22">
        <f t="shared" si="26"/>
        <v>1.4423754287628247E-4</v>
      </c>
    </row>
    <row r="488" spans="2:28" x14ac:dyDescent="0.25">
      <c r="B488" s="41"/>
      <c r="C488" s="88" t="s">
        <v>799</v>
      </c>
      <c r="D488" s="30" t="s">
        <v>37</v>
      </c>
      <c r="E488" s="31"/>
      <c r="F488" s="31">
        <v>3.98</v>
      </c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13">
        <f t="shared" si="25"/>
        <v>3.98</v>
      </c>
      <c r="AA488" s="38"/>
      <c r="AB488" s="22">
        <f t="shared" si="26"/>
        <v>1.479550053215475E-4</v>
      </c>
    </row>
    <row r="489" spans="2:28" x14ac:dyDescent="0.25">
      <c r="B489" s="36" t="s">
        <v>875</v>
      </c>
      <c r="C489" s="88" t="s">
        <v>800</v>
      </c>
      <c r="D489" s="30" t="s">
        <v>743</v>
      </c>
      <c r="E489" s="31"/>
      <c r="F489" s="31">
        <v>23.34</v>
      </c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13">
        <f t="shared" si="25"/>
        <v>23.34</v>
      </c>
      <c r="AA489" s="38"/>
      <c r="AB489" s="22">
        <f t="shared" si="26"/>
        <v>8.6765573472485393E-4</v>
      </c>
    </row>
    <row r="490" spans="2:28" x14ac:dyDescent="0.25">
      <c r="B490" s="36" t="s">
        <v>874</v>
      </c>
      <c r="C490" s="88" t="s">
        <v>801</v>
      </c>
      <c r="D490" s="30" t="s">
        <v>742</v>
      </c>
      <c r="E490" s="31"/>
      <c r="F490" s="31">
        <v>15.39</v>
      </c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13">
        <f t="shared" si="25"/>
        <v>15.39</v>
      </c>
      <c r="AA490" s="38"/>
      <c r="AB490" s="22">
        <f t="shared" si="26"/>
        <v>5.7211747032628543E-4</v>
      </c>
    </row>
    <row r="491" spans="2:28" x14ac:dyDescent="0.25">
      <c r="B491" s="41"/>
      <c r="C491" s="88" t="s">
        <v>802</v>
      </c>
      <c r="D491" s="30" t="s">
        <v>742</v>
      </c>
      <c r="E491" s="31"/>
      <c r="F491" s="31">
        <v>15.39</v>
      </c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13">
        <f t="shared" si="25"/>
        <v>15.39</v>
      </c>
      <c r="AA491" s="38"/>
      <c r="AB491" s="22">
        <f t="shared" si="26"/>
        <v>5.7211747032628543E-4</v>
      </c>
    </row>
    <row r="492" spans="2:28" x14ac:dyDescent="0.25">
      <c r="B492" s="41"/>
      <c r="C492" s="88" t="s">
        <v>803</v>
      </c>
      <c r="D492" s="28" t="s">
        <v>742</v>
      </c>
      <c r="E492" s="31"/>
      <c r="F492" s="31">
        <v>15.39</v>
      </c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13">
        <f t="shared" si="25"/>
        <v>15.39</v>
      </c>
      <c r="AA492" s="38"/>
      <c r="AB492" s="22">
        <f t="shared" si="26"/>
        <v>5.7211747032628543E-4</v>
      </c>
    </row>
    <row r="493" spans="2:28" x14ac:dyDescent="0.25">
      <c r="B493" s="41"/>
      <c r="C493" s="88" t="s">
        <v>804</v>
      </c>
      <c r="D493" s="30" t="s">
        <v>742</v>
      </c>
      <c r="E493" s="31"/>
      <c r="F493" s="31">
        <v>15.39</v>
      </c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13">
        <f t="shared" si="25"/>
        <v>15.39</v>
      </c>
      <c r="AA493" s="38"/>
      <c r="AB493" s="22">
        <f t="shared" si="26"/>
        <v>5.7211747032628543E-4</v>
      </c>
    </row>
    <row r="494" spans="2:28" x14ac:dyDescent="0.25">
      <c r="B494" s="41"/>
      <c r="C494" s="88" t="s">
        <v>805</v>
      </c>
      <c r="D494" s="30" t="s">
        <v>742</v>
      </c>
      <c r="E494" s="31"/>
      <c r="F494" s="31">
        <v>15.39</v>
      </c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13">
        <f t="shared" si="25"/>
        <v>15.39</v>
      </c>
      <c r="AA494" s="38"/>
      <c r="AB494" s="22">
        <f t="shared" si="26"/>
        <v>5.7211747032628543E-4</v>
      </c>
    </row>
    <row r="495" spans="2:28" x14ac:dyDescent="0.25">
      <c r="B495" s="41"/>
      <c r="C495" s="88" t="s">
        <v>806</v>
      </c>
      <c r="D495" s="30" t="s">
        <v>742</v>
      </c>
      <c r="E495" s="31"/>
      <c r="F495" s="31">
        <v>15.39</v>
      </c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13">
        <f t="shared" si="25"/>
        <v>15.39</v>
      </c>
      <c r="AA495" s="38"/>
      <c r="AB495" s="22">
        <f t="shared" si="26"/>
        <v>5.7211747032628543E-4</v>
      </c>
    </row>
    <row r="496" spans="2:28" x14ac:dyDescent="0.25">
      <c r="B496" s="41"/>
      <c r="C496" s="88" t="s">
        <v>807</v>
      </c>
      <c r="D496" s="30" t="s">
        <v>742</v>
      </c>
      <c r="E496" s="31"/>
      <c r="F496" s="31">
        <v>17.52</v>
      </c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13">
        <f t="shared" si="25"/>
        <v>17.52</v>
      </c>
      <c r="AA496" s="38"/>
      <c r="AB496" s="22">
        <f t="shared" si="26"/>
        <v>6.5129942041043014E-4</v>
      </c>
    </row>
    <row r="497" spans="2:28" x14ac:dyDescent="0.25">
      <c r="B497" s="41"/>
      <c r="C497" s="88" t="s">
        <v>808</v>
      </c>
      <c r="D497" s="30" t="s">
        <v>743</v>
      </c>
      <c r="E497" s="31"/>
      <c r="F497" s="31">
        <v>18.09</v>
      </c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13">
        <f t="shared" si="25"/>
        <v>18.09</v>
      </c>
      <c r="AA497" s="38"/>
      <c r="AB497" s="22">
        <f t="shared" si="26"/>
        <v>6.7248895634844071E-4</v>
      </c>
    </row>
    <row r="498" spans="2:28" x14ac:dyDescent="0.25">
      <c r="B498" s="41"/>
      <c r="C498" s="88" t="s">
        <v>809</v>
      </c>
      <c r="D498" s="30" t="s">
        <v>743</v>
      </c>
      <c r="E498" s="31"/>
      <c r="F498" s="31">
        <v>18.239999999999998</v>
      </c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13">
        <f t="shared" si="25"/>
        <v>18.239999999999998</v>
      </c>
      <c r="AA498" s="38"/>
      <c r="AB498" s="22">
        <f t="shared" si="26"/>
        <v>6.7806515001633816E-4</v>
      </c>
    </row>
    <row r="499" spans="2:28" x14ac:dyDescent="0.25">
      <c r="B499" s="41"/>
      <c r="C499" s="88" t="s">
        <v>810</v>
      </c>
      <c r="D499" s="30" t="s">
        <v>743</v>
      </c>
      <c r="E499" s="31"/>
      <c r="F499" s="31">
        <v>18.239999999999998</v>
      </c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13">
        <f t="shared" si="25"/>
        <v>18.239999999999998</v>
      </c>
      <c r="AA499" s="38"/>
      <c r="AB499" s="22">
        <f t="shared" si="26"/>
        <v>6.7806515001633816E-4</v>
      </c>
    </row>
    <row r="500" spans="2:28" x14ac:dyDescent="0.25">
      <c r="B500" s="41"/>
      <c r="C500" s="88" t="s">
        <v>811</v>
      </c>
      <c r="D500" s="28" t="s">
        <v>743</v>
      </c>
      <c r="E500" s="31"/>
      <c r="F500" s="31">
        <v>18.09</v>
      </c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13">
        <f t="shared" ref="Z500:Z563" si="27">SUM(E500:Y500)</f>
        <v>18.09</v>
      </c>
      <c r="AA500" s="38"/>
      <c r="AB500" s="22">
        <f t="shared" ref="AB500:AB563" si="28">+Z500/$AA$877</f>
        <v>6.7248895634844071E-4</v>
      </c>
    </row>
    <row r="501" spans="2:28" x14ac:dyDescent="0.25">
      <c r="B501" s="41"/>
      <c r="C501" s="88" t="s">
        <v>812</v>
      </c>
      <c r="D501" s="28" t="s">
        <v>743</v>
      </c>
      <c r="E501" s="31"/>
      <c r="F501" s="31">
        <v>19.600000000000001</v>
      </c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13">
        <f t="shared" si="27"/>
        <v>19.600000000000001</v>
      </c>
      <c r="AA501" s="38"/>
      <c r="AB501" s="22">
        <f t="shared" si="28"/>
        <v>7.2862263927194252E-4</v>
      </c>
    </row>
    <row r="502" spans="2:28" x14ac:dyDescent="0.25">
      <c r="B502" s="41"/>
      <c r="C502" s="88" t="s">
        <v>813</v>
      </c>
      <c r="D502" s="28" t="s">
        <v>37</v>
      </c>
      <c r="E502" s="31"/>
      <c r="F502" s="31">
        <v>2.87</v>
      </c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13">
        <f t="shared" si="27"/>
        <v>2.87</v>
      </c>
      <c r="AA502" s="38"/>
      <c r="AB502" s="22">
        <f t="shared" si="28"/>
        <v>1.0669117217910586E-4</v>
      </c>
    </row>
    <row r="503" spans="2:28" x14ac:dyDescent="0.25">
      <c r="B503" s="41"/>
      <c r="C503" s="88" t="s">
        <v>814</v>
      </c>
      <c r="D503" s="28" t="s">
        <v>37</v>
      </c>
      <c r="E503" s="31"/>
      <c r="F503" s="31">
        <v>5.13</v>
      </c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13">
        <f t="shared" si="27"/>
        <v>5.13</v>
      </c>
      <c r="AA503" s="38"/>
      <c r="AB503" s="22">
        <f t="shared" si="28"/>
        <v>1.9070582344209513E-4</v>
      </c>
    </row>
    <row r="504" spans="2:28" x14ac:dyDescent="0.25">
      <c r="B504" s="41"/>
      <c r="C504" s="88" t="s">
        <v>815</v>
      </c>
      <c r="D504" s="28" t="s">
        <v>37</v>
      </c>
      <c r="E504" s="31"/>
      <c r="F504" s="31">
        <v>5.13</v>
      </c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13">
        <f t="shared" si="27"/>
        <v>5.13</v>
      </c>
      <c r="AA504" s="38"/>
      <c r="AB504" s="22">
        <f t="shared" si="28"/>
        <v>1.9070582344209513E-4</v>
      </c>
    </row>
    <row r="505" spans="2:28" x14ac:dyDescent="0.25">
      <c r="B505" s="41"/>
      <c r="C505" s="88" t="s">
        <v>816</v>
      </c>
      <c r="D505" s="30" t="s">
        <v>37</v>
      </c>
      <c r="E505" s="31"/>
      <c r="F505" s="31">
        <v>4.46</v>
      </c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13">
        <f t="shared" si="27"/>
        <v>4.46</v>
      </c>
      <c r="AA505" s="38"/>
      <c r="AB505" s="22">
        <f t="shared" si="28"/>
        <v>1.6579882505881954E-4</v>
      </c>
    </row>
    <row r="506" spans="2:28" x14ac:dyDescent="0.25">
      <c r="B506" s="41"/>
      <c r="C506" s="88" t="s">
        <v>817</v>
      </c>
      <c r="D506" s="30" t="s">
        <v>743</v>
      </c>
      <c r="E506" s="31"/>
      <c r="F506" s="31">
        <v>18.09</v>
      </c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13">
        <f t="shared" si="27"/>
        <v>18.09</v>
      </c>
      <c r="AA506" s="38"/>
      <c r="AB506" s="22">
        <f t="shared" si="28"/>
        <v>6.7248895634844071E-4</v>
      </c>
    </row>
    <row r="507" spans="2:28" x14ac:dyDescent="0.25">
      <c r="B507" s="41"/>
      <c r="C507" s="88" t="s">
        <v>818</v>
      </c>
      <c r="D507" s="30" t="s">
        <v>743</v>
      </c>
      <c r="E507" s="31"/>
      <c r="F507" s="31">
        <v>18.239999999999998</v>
      </c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13">
        <f t="shared" si="27"/>
        <v>18.239999999999998</v>
      </c>
      <c r="AA507" s="38"/>
      <c r="AB507" s="22">
        <f t="shared" si="28"/>
        <v>6.7806515001633816E-4</v>
      </c>
    </row>
    <row r="508" spans="2:28" x14ac:dyDescent="0.25">
      <c r="B508" s="41"/>
      <c r="C508" s="88" t="s">
        <v>819</v>
      </c>
      <c r="D508" s="30" t="s">
        <v>743</v>
      </c>
      <c r="E508" s="31"/>
      <c r="F508" s="31">
        <v>18.239999999999998</v>
      </c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13">
        <f t="shared" si="27"/>
        <v>18.239999999999998</v>
      </c>
      <c r="AA508" s="38"/>
      <c r="AB508" s="22">
        <f t="shared" si="28"/>
        <v>6.7806515001633816E-4</v>
      </c>
    </row>
    <row r="509" spans="2:28" x14ac:dyDescent="0.25">
      <c r="B509" s="41"/>
      <c r="C509" s="88" t="s">
        <v>820</v>
      </c>
      <c r="D509" s="28" t="s">
        <v>743</v>
      </c>
      <c r="E509" s="31"/>
      <c r="F509" s="31">
        <v>18.09</v>
      </c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13">
        <f t="shared" si="27"/>
        <v>18.09</v>
      </c>
      <c r="AA509" s="38"/>
      <c r="AB509" s="22">
        <f t="shared" si="28"/>
        <v>6.7248895634844071E-4</v>
      </c>
    </row>
    <row r="510" spans="2:28" x14ac:dyDescent="0.25">
      <c r="B510" s="41"/>
      <c r="C510" s="88" t="s">
        <v>821</v>
      </c>
      <c r="D510" s="28" t="s">
        <v>743</v>
      </c>
      <c r="E510" s="31"/>
      <c r="F510" s="31">
        <v>18.54</v>
      </c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13">
        <f t="shared" si="27"/>
        <v>18.54</v>
      </c>
      <c r="AA510" s="38"/>
      <c r="AB510" s="22">
        <f t="shared" si="28"/>
        <v>6.8921753735213327E-4</v>
      </c>
    </row>
    <row r="511" spans="2:28" x14ac:dyDescent="0.25">
      <c r="B511" s="41"/>
      <c r="C511" s="88" t="s">
        <v>822</v>
      </c>
      <c r="D511" s="28" t="s">
        <v>743</v>
      </c>
      <c r="E511" s="31"/>
      <c r="F511" s="31"/>
      <c r="G511" s="31">
        <v>18.829999999999998</v>
      </c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13">
        <f t="shared" si="27"/>
        <v>18.829999999999998</v>
      </c>
      <c r="AA511" s="38"/>
      <c r="AB511" s="22">
        <f t="shared" si="28"/>
        <v>6.9999817844340173E-4</v>
      </c>
    </row>
    <row r="512" spans="2:28" x14ac:dyDescent="0.25">
      <c r="B512" s="41"/>
      <c r="C512" s="88" t="s">
        <v>823</v>
      </c>
      <c r="D512" s="28" t="s">
        <v>743</v>
      </c>
      <c r="E512" s="31"/>
      <c r="F512" s="31"/>
      <c r="G512" s="31">
        <v>18.63</v>
      </c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13">
        <f t="shared" si="27"/>
        <v>18.63</v>
      </c>
      <c r="AA512" s="38"/>
      <c r="AB512" s="22">
        <f t="shared" si="28"/>
        <v>6.9256325355287172E-4</v>
      </c>
    </row>
    <row r="513" spans="2:28" x14ac:dyDescent="0.25">
      <c r="B513" s="41"/>
      <c r="C513" s="88" t="s">
        <v>824</v>
      </c>
      <c r="D513" s="28" t="s">
        <v>743</v>
      </c>
      <c r="E513" s="31"/>
      <c r="F513" s="31"/>
      <c r="G513" s="31">
        <v>18.61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13">
        <f t="shared" si="27"/>
        <v>18.61</v>
      </c>
      <c r="AA513" s="38"/>
      <c r="AB513" s="22">
        <f t="shared" si="28"/>
        <v>6.9181976106381883E-4</v>
      </c>
    </row>
    <row r="514" spans="2:28" x14ac:dyDescent="0.25">
      <c r="B514" s="41"/>
      <c r="C514" s="88" t="s">
        <v>825</v>
      </c>
      <c r="D514" s="28" t="s">
        <v>743</v>
      </c>
      <c r="E514" s="31"/>
      <c r="F514" s="31"/>
      <c r="G514" s="31">
        <v>18.62</v>
      </c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13">
        <f t="shared" si="27"/>
        <v>18.62</v>
      </c>
      <c r="AA514" s="38"/>
      <c r="AB514" s="22">
        <f t="shared" si="28"/>
        <v>6.9219150730834538E-4</v>
      </c>
    </row>
    <row r="515" spans="2:28" x14ac:dyDescent="0.25">
      <c r="B515" s="41"/>
      <c r="C515" s="88" t="s">
        <v>826</v>
      </c>
      <c r="D515" s="28" t="s">
        <v>743</v>
      </c>
      <c r="E515" s="31"/>
      <c r="F515" s="31"/>
      <c r="G515" s="31">
        <v>18.63</v>
      </c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13">
        <f t="shared" si="27"/>
        <v>18.63</v>
      </c>
      <c r="AA515" s="38"/>
      <c r="AB515" s="22">
        <f t="shared" si="28"/>
        <v>6.9256325355287172E-4</v>
      </c>
    </row>
    <row r="516" spans="2:28" x14ac:dyDescent="0.25">
      <c r="B516" s="41"/>
      <c r="C516" s="88" t="s">
        <v>827</v>
      </c>
      <c r="D516" s="28" t="s">
        <v>743</v>
      </c>
      <c r="E516" s="31"/>
      <c r="F516" s="31"/>
      <c r="G516" s="31">
        <v>18.61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13">
        <f t="shared" si="27"/>
        <v>18.61</v>
      </c>
      <c r="AA516" s="38"/>
      <c r="AB516" s="22">
        <f t="shared" si="28"/>
        <v>6.9181976106381883E-4</v>
      </c>
    </row>
    <row r="517" spans="2:28" x14ac:dyDescent="0.25">
      <c r="B517" s="41"/>
      <c r="C517" s="88" t="s">
        <v>828</v>
      </c>
      <c r="D517" s="28" t="s">
        <v>743</v>
      </c>
      <c r="E517" s="31"/>
      <c r="F517" s="31"/>
      <c r="G517" s="31">
        <v>18.62</v>
      </c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13">
        <f t="shared" si="27"/>
        <v>18.62</v>
      </c>
      <c r="AA517" s="38"/>
      <c r="AB517" s="22">
        <f t="shared" si="28"/>
        <v>6.9219150730834538E-4</v>
      </c>
    </row>
    <row r="518" spans="2:28" x14ac:dyDescent="0.25">
      <c r="B518" s="41"/>
      <c r="C518" s="88" t="s">
        <v>829</v>
      </c>
      <c r="D518" s="28" t="s">
        <v>743</v>
      </c>
      <c r="E518" s="31"/>
      <c r="F518" s="31"/>
      <c r="G518" s="31">
        <v>18.63</v>
      </c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13">
        <f t="shared" si="27"/>
        <v>18.63</v>
      </c>
      <c r="AA518" s="38"/>
      <c r="AB518" s="22">
        <f t="shared" si="28"/>
        <v>6.9256325355287172E-4</v>
      </c>
    </row>
    <row r="519" spans="2:28" x14ac:dyDescent="0.25">
      <c r="B519" s="41"/>
      <c r="C519" s="88" t="s">
        <v>830</v>
      </c>
      <c r="D519" s="28" t="s">
        <v>743</v>
      </c>
      <c r="E519" s="31"/>
      <c r="F519" s="31"/>
      <c r="G519" s="31">
        <v>18.61</v>
      </c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13">
        <f t="shared" si="27"/>
        <v>18.61</v>
      </c>
      <c r="AA519" s="38"/>
      <c r="AB519" s="22">
        <f t="shared" si="28"/>
        <v>6.9181976106381883E-4</v>
      </c>
    </row>
    <row r="520" spans="2:28" x14ac:dyDescent="0.25">
      <c r="B520" s="41"/>
      <c r="C520" s="88" t="s">
        <v>831</v>
      </c>
      <c r="D520" s="28" t="s">
        <v>743</v>
      </c>
      <c r="E520" s="31"/>
      <c r="F520" s="31"/>
      <c r="G520" s="31">
        <v>17.93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13">
        <f t="shared" si="27"/>
        <v>17.93</v>
      </c>
      <c r="AA520" s="38"/>
      <c r="AB520" s="22">
        <f t="shared" si="28"/>
        <v>6.6654101643601671E-4</v>
      </c>
    </row>
    <row r="521" spans="2:28" x14ac:dyDescent="0.25">
      <c r="B521" s="41"/>
      <c r="C521" s="88" t="s">
        <v>832</v>
      </c>
      <c r="D521" s="28" t="s">
        <v>743</v>
      </c>
      <c r="E521" s="31"/>
      <c r="F521" s="31"/>
      <c r="G521" s="31">
        <v>17.940000000000001</v>
      </c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13">
        <f t="shared" si="27"/>
        <v>17.940000000000001</v>
      </c>
      <c r="AA521" s="38"/>
      <c r="AB521" s="22">
        <f t="shared" si="28"/>
        <v>6.6691276268054326E-4</v>
      </c>
    </row>
    <row r="522" spans="2:28" x14ac:dyDescent="0.25">
      <c r="B522" s="41"/>
      <c r="C522" s="88" t="s">
        <v>833</v>
      </c>
      <c r="D522" s="28" t="s">
        <v>743</v>
      </c>
      <c r="E522" s="31"/>
      <c r="F522" s="31"/>
      <c r="G522" s="31">
        <v>19.66</v>
      </c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13">
        <f t="shared" si="27"/>
        <v>19.66</v>
      </c>
      <c r="AA522" s="38"/>
      <c r="AB522" s="22">
        <f t="shared" si="28"/>
        <v>7.3085311673910141E-4</v>
      </c>
    </row>
    <row r="523" spans="2:28" x14ac:dyDescent="0.25">
      <c r="B523" s="41"/>
      <c r="C523" s="88" t="s">
        <v>834</v>
      </c>
      <c r="D523" s="28" t="s">
        <v>37</v>
      </c>
      <c r="E523" s="31"/>
      <c r="F523" s="31"/>
      <c r="G523" s="31">
        <v>6.06</v>
      </c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13">
        <f t="shared" si="27"/>
        <v>6.06</v>
      </c>
      <c r="AA523" s="38"/>
      <c r="AB523" s="22">
        <f t="shared" si="28"/>
        <v>2.2527822418305974E-4</v>
      </c>
    </row>
    <row r="524" spans="2:28" x14ac:dyDescent="0.25">
      <c r="B524" s="41"/>
      <c r="C524" s="88" t="s">
        <v>835</v>
      </c>
      <c r="D524" s="28" t="s">
        <v>37</v>
      </c>
      <c r="E524" s="31"/>
      <c r="F524" s="31"/>
      <c r="G524" s="31">
        <v>5.05</v>
      </c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13">
        <f t="shared" si="27"/>
        <v>5.05</v>
      </c>
      <c r="AA524" s="38"/>
      <c r="AB524" s="22">
        <f t="shared" si="28"/>
        <v>1.8773185348588311E-4</v>
      </c>
    </row>
    <row r="525" spans="2:28" x14ac:dyDescent="0.25">
      <c r="B525" s="41"/>
      <c r="C525" s="88" t="s">
        <v>836</v>
      </c>
      <c r="D525" s="28" t="s">
        <v>37</v>
      </c>
      <c r="E525" s="31"/>
      <c r="F525" s="31"/>
      <c r="G525" s="31">
        <v>3.88</v>
      </c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13">
        <f t="shared" si="27"/>
        <v>3.88</v>
      </c>
      <c r="AA525" s="38"/>
      <c r="AB525" s="22">
        <f t="shared" si="28"/>
        <v>1.4423754287628247E-4</v>
      </c>
    </row>
    <row r="526" spans="2:28" x14ac:dyDescent="0.25">
      <c r="B526" s="41"/>
      <c r="C526" s="88" t="s">
        <v>837</v>
      </c>
      <c r="D526" s="28" t="s">
        <v>37</v>
      </c>
      <c r="E526" s="31"/>
      <c r="F526" s="31"/>
      <c r="G526" s="31">
        <v>3.98</v>
      </c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13">
        <f t="shared" si="27"/>
        <v>3.98</v>
      </c>
      <c r="AA526" s="38"/>
      <c r="AB526" s="22">
        <f t="shared" si="28"/>
        <v>1.479550053215475E-4</v>
      </c>
    </row>
    <row r="527" spans="2:28" x14ac:dyDescent="0.25">
      <c r="B527" s="41"/>
      <c r="C527" s="88" t="s">
        <v>838</v>
      </c>
      <c r="D527" s="30" t="s">
        <v>743</v>
      </c>
      <c r="E527" s="31"/>
      <c r="F527" s="31"/>
      <c r="G527" s="31">
        <v>23.35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13">
        <f t="shared" si="27"/>
        <v>23.35</v>
      </c>
      <c r="AA527" s="38"/>
      <c r="AB527" s="22">
        <f t="shared" si="28"/>
        <v>8.6802748096938048E-4</v>
      </c>
    </row>
    <row r="528" spans="2:28" x14ac:dyDescent="0.25">
      <c r="B528" s="41"/>
      <c r="C528" s="88" t="s">
        <v>839</v>
      </c>
      <c r="D528" s="30" t="s">
        <v>742</v>
      </c>
      <c r="E528" s="31"/>
      <c r="F528" s="31"/>
      <c r="G528" s="31">
        <v>16.239999999999998</v>
      </c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13">
        <f t="shared" si="27"/>
        <v>16.239999999999998</v>
      </c>
      <c r="AA528" s="38"/>
      <c r="AB528" s="22">
        <f t="shared" si="28"/>
        <v>6.03715901111038E-4</v>
      </c>
    </row>
    <row r="529" spans="2:28" x14ac:dyDescent="0.25">
      <c r="B529" s="41"/>
      <c r="C529" s="88" t="s">
        <v>840</v>
      </c>
      <c r="D529" s="30" t="s">
        <v>742</v>
      </c>
      <c r="E529" s="31"/>
      <c r="F529" s="31"/>
      <c r="G529" s="31">
        <v>15.66</v>
      </c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13">
        <f t="shared" si="27"/>
        <v>15.66</v>
      </c>
      <c r="AA529" s="38"/>
      <c r="AB529" s="22">
        <f t="shared" si="28"/>
        <v>5.8215461892850099E-4</v>
      </c>
    </row>
    <row r="530" spans="2:28" x14ac:dyDescent="0.25">
      <c r="B530" s="41"/>
      <c r="C530" s="88" t="s">
        <v>841</v>
      </c>
      <c r="D530" s="30" t="s">
        <v>742</v>
      </c>
      <c r="E530" s="31"/>
      <c r="F530" s="31"/>
      <c r="G530" s="31">
        <v>15.6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13">
        <f t="shared" si="27"/>
        <v>15.6</v>
      </c>
      <c r="AA530" s="38"/>
      <c r="AB530" s="22">
        <f t="shared" si="28"/>
        <v>5.7992414146134188E-4</v>
      </c>
    </row>
    <row r="531" spans="2:28" x14ac:dyDescent="0.25">
      <c r="B531" s="41"/>
      <c r="C531" s="88" t="s">
        <v>842</v>
      </c>
      <c r="D531" s="30" t="s">
        <v>742</v>
      </c>
      <c r="E531" s="31"/>
      <c r="F531" s="31"/>
      <c r="G531" s="31">
        <v>15.6</v>
      </c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13">
        <f t="shared" si="27"/>
        <v>15.6</v>
      </c>
      <c r="AA531" s="38"/>
      <c r="AB531" s="22">
        <f t="shared" si="28"/>
        <v>5.7992414146134188E-4</v>
      </c>
    </row>
    <row r="532" spans="2:28" x14ac:dyDescent="0.25">
      <c r="B532" s="41"/>
      <c r="C532" s="88" t="s">
        <v>843</v>
      </c>
      <c r="D532" s="28" t="s">
        <v>742</v>
      </c>
      <c r="E532" s="31"/>
      <c r="F532" s="31"/>
      <c r="G532" s="31">
        <v>15.66</v>
      </c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13">
        <f t="shared" si="27"/>
        <v>15.66</v>
      </c>
      <c r="AA532" s="38"/>
      <c r="AB532" s="22">
        <f t="shared" si="28"/>
        <v>5.8215461892850099E-4</v>
      </c>
    </row>
    <row r="533" spans="2:28" x14ac:dyDescent="0.25">
      <c r="B533" s="41"/>
      <c r="C533" s="88" t="s">
        <v>844</v>
      </c>
      <c r="D533" s="30" t="s">
        <v>742</v>
      </c>
      <c r="E533" s="31"/>
      <c r="F533" s="31"/>
      <c r="G533" s="31">
        <v>15.6</v>
      </c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13">
        <f t="shared" si="27"/>
        <v>15.6</v>
      </c>
      <c r="AA533" s="38"/>
      <c r="AB533" s="22">
        <f t="shared" si="28"/>
        <v>5.7992414146134188E-4</v>
      </c>
    </row>
    <row r="534" spans="2:28" x14ac:dyDescent="0.25">
      <c r="B534" s="41"/>
      <c r="C534" s="88" t="s">
        <v>845</v>
      </c>
      <c r="D534" s="30" t="s">
        <v>742</v>
      </c>
      <c r="E534" s="31"/>
      <c r="F534" s="31"/>
      <c r="G534" s="31">
        <v>17.760000000000002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13">
        <f t="shared" si="27"/>
        <v>17.760000000000002</v>
      </c>
      <c r="AA534" s="38"/>
      <c r="AB534" s="22">
        <f t="shared" si="28"/>
        <v>6.6022133027906626E-4</v>
      </c>
    </row>
    <row r="535" spans="2:28" x14ac:dyDescent="0.25">
      <c r="B535" s="41"/>
      <c r="C535" s="88" t="s">
        <v>846</v>
      </c>
      <c r="D535" s="30" t="s">
        <v>743</v>
      </c>
      <c r="E535" s="31"/>
      <c r="F535" s="31"/>
      <c r="G535" s="31">
        <v>18.36</v>
      </c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13">
        <f t="shared" si="27"/>
        <v>18.36</v>
      </c>
      <c r="AA535" s="38"/>
      <c r="AB535" s="22">
        <f t="shared" si="28"/>
        <v>6.8252610495065627E-4</v>
      </c>
    </row>
    <row r="536" spans="2:28" x14ac:dyDescent="0.25">
      <c r="B536" s="41"/>
      <c r="C536" s="88" t="s">
        <v>847</v>
      </c>
      <c r="D536" s="30" t="s">
        <v>743</v>
      </c>
      <c r="E536" s="31"/>
      <c r="F536" s="31"/>
      <c r="G536" s="31">
        <v>18.45</v>
      </c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13">
        <f t="shared" si="27"/>
        <v>18.45</v>
      </c>
      <c r="AA536" s="38"/>
      <c r="AB536" s="22">
        <f t="shared" si="28"/>
        <v>6.8587182115139472E-4</v>
      </c>
    </row>
    <row r="537" spans="2:28" x14ac:dyDescent="0.25">
      <c r="B537" s="41"/>
      <c r="C537" s="88" t="s">
        <v>848</v>
      </c>
      <c r="D537" s="30" t="s">
        <v>743</v>
      </c>
      <c r="E537" s="31"/>
      <c r="F537" s="31"/>
      <c r="G537" s="31">
        <v>18.45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13">
        <f t="shared" si="27"/>
        <v>18.45</v>
      </c>
      <c r="AA537" s="38"/>
      <c r="AB537" s="22">
        <f t="shared" si="28"/>
        <v>6.8587182115139472E-4</v>
      </c>
    </row>
    <row r="538" spans="2:28" x14ac:dyDescent="0.25">
      <c r="B538" s="41"/>
      <c r="C538" s="88" t="s">
        <v>849</v>
      </c>
      <c r="D538" s="30" t="s">
        <v>743</v>
      </c>
      <c r="E538" s="31"/>
      <c r="F538" s="31"/>
      <c r="G538" s="31">
        <v>18.36</v>
      </c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13">
        <f t="shared" si="27"/>
        <v>18.36</v>
      </c>
      <c r="AA538" s="38"/>
      <c r="AB538" s="22">
        <f t="shared" si="28"/>
        <v>6.8252610495065627E-4</v>
      </c>
    </row>
    <row r="539" spans="2:28" x14ac:dyDescent="0.25">
      <c r="B539" s="41"/>
      <c r="C539" s="88" t="s">
        <v>850</v>
      </c>
      <c r="D539" s="30" t="s">
        <v>743</v>
      </c>
      <c r="E539" s="31"/>
      <c r="F539" s="31"/>
      <c r="G539" s="31">
        <v>19.89</v>
      </c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13">
        <f t="shared" si="27"/>
        <v>19.89</v>
      </c>
      <c r="AA539" s="38"/>
      <c r="AB539" s="22">
        <f t="shared" si="28"/>
        <v>7.3940328036321097E-4</v>
      </c>
    </row>
    <row r="540" spans="2:28" x14ac:dyDescent="0.25">
      <c r="B540" s="41"/>
      <c r="C540" s="88" t="s">
        <v>851</v>
      </c>
      <c r="D540" s="28" t="s">
        <v>37</v>
      </c>
      <c r="E540" s="31"/>
      <c r="F540" s="31"/>
      <c r="G540" s="31">
        <v>2.87</v>
      </c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13">
        <f t="shared" si="27"/>
        <v>2.87</v>
      </c>
      <c r="AA540" s="38"/>
      <c r="AB540" s="22">
        <f t="shared" si="28"/>
        <v>1.0669117217910586E-4</v>
      </c>
    </row>
    <row r="541" spans="2:28" x14ac:dyDescent="0.25">
      <c r="B541" s="41"/>
      <c r="C541" s="88" t="s">
        <v>852</v>
      </c>
      <c r="D541" s="28" t="s">
        <v>37</v>
      </c>
      <c r="E541" s="31"/>
      <c r="F541" s="31"/>
      <c r="G541" s="31">
        <v>5.13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13">
        <f t="shared" si="27"/>
        <v>5.13</v>
      </c>
      <c r="AA541" s="38"/>
      <c r="AB541" s="22">
        <f t="shared" si="28"/>
        <v>1.9070582344209513E-4</v>
      </c>
    </row>
    <row r="542" spans="2:28" x14ac:dyDescent="0.25">
      <c r="B542" s="41"/>
      <c r="C542" s="88" t="s">
        <v>853</v>
      </c>
      <c r="D542" s="28" t="s">
        <v>37</v>
      </c>
      <c r="E542" s="31"/>
      <c r="F542" s="31"/>
      <c r="G542" s="31">
        <v>5.13</v>
      </c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13">
        <f t="shared" si="27"/>
        <v>5.13</v>
      </c>
      <c r="AA542" s="38"/>
      <c r="AB542" s="22">
        <f t="shared" si="28"/>
        <v>1.9070582344209513E-4</v>
      </c>
    </row>
    <row r="543" spans="2:28" x14ac:dyDescent="0.25">
      <c r="B543" s="41"/>
      <c r="C543" s="88" t="s">
        <v>854</v>
      </c>
      <c r="D543" s="28" t="s">
        <v>37</v>
      </c>
      <c r="E543" s="31"/>
      <c r="F543" s="31"/>
      <c r="G543" s="31">
        <v>4.8099999999999996</v>
      </c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13">
        <f t="shared" si="27"/>
        <v>4.8099999999999996</v>
      </c>
      <c r="AA543" s="38"/>
      <c r="AB543" s="22">
        <f t="shared" si="28"/>
        <v>1.7880994361724707E-4</v>
      </c>
    </row>
    <row r="544" spans="2:28" x14ac:dyDescent="0.25">
      <c r="B544" s="41"/>
      <c r="C544" s="88" t="s">
        <v>855</v>
      </c>
      <c r="D544" s="28" t="s">
        <v>743</v>
      </c>
      <c r="E544" s="31"/>
      <c r="F544" s="31"/>
      <c r="G544" s="31">
        <v>18.3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13">
        <f t="shared" si="27"/>
        <v>18.3</v>
      </c>
      <c r="AA544" s="38"/>
      <c r="AB544" s="22">
        <f t="shared" si="28"/>
        <v>6.8029562748349727E-4</v>
      </c>
    </row>
    <row r="545" spans="2:28" x14ac:dyDescent="0.25">
      <c r="B545" s="41"/>
      <c r="C545" s="88" t="s">
        <v>856</v>
      </c>
      <c r="D545" s="30" t="s">
        <v>743</v>
      </c>
      <c r="E545" s="31"/>
      <c r="F545" s="31"/>
      <c r="G545" s="31">
        <v>18.45</v>
      </c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13">
        <f t="shared" si="27"/>
        <v>18.45</v>
      </c>
      <c r="AA545" s="38"/>
      <c r="AB545" s="22">
        <f t="shared" si="28"/>
        <v>6.8587182115139472E-4</v>
      </c>
    </row>
    <row r="546" spans="2:28" x14ac:dyDescent="0.25">
      <c r="B546" s="41"/>
      <c r="C546" s="88" t="s">
        <v>857</v>
      </c>
      <c r="D546" s="30" t="s">
        <v>743</v>
      </c>
      <c r="E546" s="31"/>
      <c r="F546" s="31"/>
      <c r="G546" s="31">
        <v>18.45</v>
      </c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13">
        <f t="shared" si="27"/>
        <v>18.45</v>
      </c>
      <c r="AA546" s="38"/>
      <c r="AB546" s="22">
        <f t="shared" si="28"/>
        <v>6.8587182115139472E-4</v>
      </c>
    </row>
    <row r="547" spans="2:28" x14ac:dyDescent="0.25">
      <c r="B547" s="41"/>
      <c r="C547" s="88" t="s">
        <v>858</v>
      </c>
      <c r="D547" s="30" t="s">
        <v>743</v>
      </c>
      <c r="E547" s="31"/>
      <c r="F547" s="31"/>
      <c r="G547" s="31">
        <v>18.36</v>
      </c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13">
        <f t="shared" si="27"/>
        <v>18.36</v>
      </c>
      <c r="AA547" s="38"/>
      <c r="AB547" s="22">
        <f t="shared" si="28"/>
        <v>6.8252610495065627E-4</v>
      </c>
    </row>
    <row r="548" spans="2:28" x14ac:dyDescent="0.25">
      <c r="B548" s="41"/>
      <c r="C548" s="88" t="s">
        <v>859</v>
      </c>
      <c r="D548" s="30" t="s">
        <v>743</v>
      </c>
      <c r="E548" s="31"/>
      <c r="F548" s="31"/>
      <c r="G548" s="31">
        <v>18.71</v>
      </c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13">
        <f t="shared" si="27"/>
        <v>18.71</v>
      </c>
      <c r="AA548" s="38"/>
      <c r="AB548" s="22">
        <f t="shared" si="28"/>
        <v>6.9553722350908383E-4</v>
      </c>
    </row>
    <row r="549" spans="2:28" x14ac:dyDescent="0.25">
      <c r="B549" s="41"/>
      <c r="C549" s="88" t="s">
        <v>860</v>
      </c>
      <c r="D549" s="28" t="s">
        <v>743</v>
      </c>
      <c r="E549" s="31"/>
      <c r="F549" s="31"/>
      <c r="G549" s="31"/>
      <c r="H549" s="31">
        <v>18.829999999999998</v>
      </c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13">
        <f t="shared" si="27"/>
        <v>18.829999999999998</v>
      </c>
      <c r="AA549" s="38"/>
      <c r="AB549" s="22">
        <f t="shared" si="28"/>
        <v>6.9999817844340173E-4</v>
      </c>
    </row>
    <row r="550" spans="2:28" x14ac:dyDescent="0.25">
      <c r="B550" s="41"/>
      <c r="C550" s="88" t="s">
        <v>431</v>
      </c>
      <c r="D550" s="28" t="s">
        <v>743</v>
      </c>
      <c r="E550" s="31"/>
      <c r="F550" s="31"/>
      <c r="G550" s="31"/>
      <c r="H550" s="31">
        <v>18.63</v>
      </c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13">
        <f t="shared" si="27"/>
        <v>18.63</v>
      </c>
      <c r="AA550" s="38"/>
      <c r="AB550" s="22">
        <f t="shared" si="28"/>
        <v>6.9256325355287172E-4</v>
      </c>
    </row>
    <row r="551" spans="2:28" x14ac:dyDescent="0.25">
      <c r="B551" s="41"/>
      <c r="C551" s="88" t="s">
        <v>432</v>
      </c>
      <c r="D551" s="28" t="s">
        <v>743</v>
      </c>
      <c r="E551" s="31"/>
      <c r="F551" s="31"/>
      <c r="G551" s="31"/>
      <c r="H551" s="31">
        <v>18.61</v>
      </c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13">
        <f t="shared" si="27"/>
        <v>18.61</v>
      </c>
      <c r="AA551" s="38"/>
      <c r="AB551" s="22">
        <f t="shared" si="28"/>
        <v>6.9181976106381883E-4</v>
      </c>
    </row>
    <row r="552" spans="2:28" x14ac:dyDescent="0.25">
      <c r="B552" s="41"/>
      <c r="C552" s="88" t="s">
        <v>433</v>
      </c>
      <c r="D552" s="28" t="s">
        <v>743</v>
      </c>
      <c r="E552" s="31"/>
      <c r="F552" s="31"/>
      <c r="G552" s="31"/>
      <c r="H552" s="31">
        <v>18.62</v>
      </c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13">
        <f t="shared" si="27"/>
        <v>18.62</v>
      </c>
      <c r="AA552" s="38"/>
      <c r="AB552" s="22">
        <f t="shared" si="28"/>
        <v>6.9219150730834538E-4</v>
      </c>
    </row>
    <row r="553" spans="2:28" x14ac:dyDescent="0.25">
      <c r="B553" s="41"/>
      <c r="C553" s="88" t="s">
        <v>434</v>
      </c>
      <c r="D553" s="28" t="s">
        <v>743</v>
      </c>
      <c r="E553" s="31"/>
      <c r="F553" s="31"/>
      <c r="G553" s="31"/>
      <c r="H553" s="31">
        <v>18.63</v>
      </c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13">
        <f t="shared" si="27"/>
        <v>18.63</v>
      </c>
      <c r="AA553" s="38"/>
      <c r="AB553" s="22">
        <f t="shared" si="28"/>
        <v>6.9256325355287172E-4</v>
      </c>
    </row>
    <row r="554" spans="2:28" x14ac:dyDescent="0.25">
      <c r="B554" s="41"/>
      <c r="C554" s="88" t="s">
        <v>435</v>
      </c>
      <c r="D554" s="28" t="s">
        <v>743</v>
      </c>
      <c r="E554" s="31"/>
      <c r="F554" s="31"/>
      <c r="G554" s="31"/>
      <c r="H554" s="31">
        <v>18.61</v>
      </c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13">
        <f t="shared" si="27"/>
        <v>18.61</v>
      </c>
      <c r="AA554" s="38"/>
      <c r="AB554" s="22">
        <f t="shared" si="28"/>
        <v>6.9181976106381883E-4</v>
      </c>
    </row>
    <row r="555" spans="2:28" x14ac:dyDescent="0.25">
      <c r="B555" s="41"/>
      <c r="C555" s="88" t="s">
        <v>436</v>
      </c>
      <c r="D555" s="28" t="s">
        <v>743</v>
      </c>
      <c r="E555" s="31"/>
      <c r="F555" s="31"/>
      <c r="G555" s="31"/>
      <c r="H555" s="31">
        <v>18.62</v>
      </c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13">
        <f t="shared" si="27"/>
        <v>18.62</v>
      </c>
      <c r="AA555" s="38"/>
      <c r="AB555" s="22">
        <f t="shared" si="28"/>
        <v>6.9219150730834538E-4</v>
      </c>
    </row>
    <row r="556" spans="2:28" x14ac:dyDescent="0.25">
      <c r="B556" s="41"/>
      <c r="C556" s="88" t="s">
        <v>437</v>
      </c>
      <c r="D556" s="28" t="s">
        <v>743</v>
      </c>
      <c r="E556" s="31"/>
      <c r="F556" s="31"/>
      <c r="G556" s="31"/>
      <c r="H556" s="31">
        <v>18.63</v>
      </c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13">
        <f t="shared" si="27"/>
        <v>18.63</v>
      </c>
      <c r="AA556" s="38"/>
      <c r="AB556" s="22">
        <f t="shared" si="28"/>
        <v>6.9256325355287172E-4</v>
      </c>
    </row>
    <row r="557" spans="2:28" x14ac:dyDescent="0.25">
      <c r="B557" s="41"/>
      <c r="C557" s="88" t="s">
        <v>438</v>
      </c>
      <c r="D557" s="28" t="s">
        <v>743</v>
      </c>
      <c r="E557" s="31"/>
      <c r="F557" s="31"/>
      <c r="G557" s="31"/>
      <c r="H557" s="31">
        <v>18.61</v>
      </c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13">
        <f t="shared" si="27"/>
        <v>18.61</v>
      </c>
      <c r="AA557" s="38"/>
      <c r="AB557" s="22">
        <f t="shared" si="28"/>
        <v>6.9181976106381883E-4</v>
      </c>
    </row>
    <row r="558" spans="2:28" x14ac:dyDescent="0.25">
      <c r="B558" s="41"/>
      <c r="C558" s="88" t="s">
        <v>439</v>
      </c>
      <c r="D558" s="28" t="s">
        <v>743</v>
      </c>
      <c r="E558" s="31"/>
      <c r="F558" s="31"/>
      <c r="G558" s="31"/>
      <c r="H558" s="31">
        <v>17.93</v>
      </c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13">
        <f t="shared" si="27"/>
        <v>17.93</v>
      </c>
      <c r="AA558" s="38"/>
      <c r="AB558" s="22">
        <f t="shared" si="28"/>
        <v>6.6654101643601671E-4</v>
      </c>
    </row>
    <row r="559" spans="2:28" x14ac:dyDescent="0.25">
      <c r="B559" s="41"/>
      <c r="C559" s="88" t="s">
        <v>440</v>
      </c>
      <c r="D559" s="28" t="s">
        <v>743</v>
      </c>
      <c r="E559" s="31"/>
      <c r="F559" s="31"/>
      <c r="G559" s="31"/>
      <c r="H559" s="31">
        <v>17.940000000000001</v>
      </c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13">
        <f t="shared" si="27"/>
        <v>17.940000000000001</v>
      </c>
      <c r="AA559" s="38"/>
      <c r="AB559" s="22">
        <f t="shared" si="28"/>
        <v>6.6691276268054326E-4</v>
      </c>
    </row>
    <row r="560" spans="2:28" x14ac:dyDescent="0.25">
      <c r="B560" s="41"/>
      <c r="C560" s="88" t="s">
        <v>441</v>
      </c>
      <c r="D560" s="28" t="s">
        <v>743</v>
      </c>
      <c r="E560" s="31"/>
      <c r="F560" s="31"/>
      <c r="G560" s="31"/>
      <c r="H560" s="31">
        <v>19.66</v>
      </c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13">
        <f t="shared" si="27"/>
        <v>19.66</v>
      </c>
      <c r="AA560" s="38"/>
      <c r="AB560" s="22">
        <f t="shared" si="28"/>
        <v>7.3085311673910141E-4</v>
      </c>
    </row>
    <row r="561" spans="2:28" x14ac:dyDescent="0.25">
      <c r="B561" s="41"/>
      <c r="C561" s="88" t="s">
        <v>442</v>
      </c>
      <c r="D561" s="28" t="s">
        <v>37</v>
      </c>
      <c r="E561" s="31"/>
      <c r="F561" s="31"/>
      <c r="G561" s="31"/>
      <c r="H561" s="31">
        <v>6.06</v>
      </c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13">
        <f t="shared" si="27"/>
        <v>6.06</v>
      </c>
      <c r="AA561" s="38"/>
      <c r="AB561" s="22">
        <f t="shared" si="28"/>
        <v>2.2527822418305974E-4</v>
      </c>
    </row>
    <row r="562" spans="2:28" x14ac:dyDescent="0.25">
      <c r="B562" s="41"/>
      <c r="C562" s="88" t="s">
        <v>443</v>
      </c>
      <c r="D562" s="28" t="s">
        <v>37</v>
      </c>
      <c r="E562" s="31"/>
      <c r="F562" s="31"/>
      <c r="G562" s="31"/>
      <c r="H562" s="31">
        <v>5.05</v>
      </c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13">
        <f t="shared" si="27"/>
        <v>5.05</v>
      </c>
      <c r="AA562" s="38"/>
      <c r="AB562" s="22">
        <f t="shared" si="28"/>
        <v>1.8773185348588311E-4</v>
      </c>
    </row>
    <row r="563" spans="2:28" x14ac:dyDescent="0.25">
      <c r="B563" s="41"/>
      <c r="C563" s="88" t="s">
        <v>444</v>
      </c>
      <c r="D563" s="28" t="s">
        <v>37</v>
      </c>
      <c r="E563" s="31"/>
      <c r="F563" s="31"/>
      <c r="G563" s="31"/>
      <c r="H563" s="31">
        <v>3.88</v>
      </c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13">
        <f t="shared" si="27"/>
        <v>3.88</v>
      </c>
      <c r="AA563" s="38"/>
      <c r="AB563" s="22">
        <f t="shared" si="28"/>
        <v>1.4423754287628247E-4</v>
      </c>
    </row>
    <row r="564" spans="2:28" x14ac:dyDescent="0.25">
      <c r="B564" s="41"/>
      <c r="C564" s="88" t="s">
        <v>445</v>
      </c>
      <c r="D564" s="28" t="s">
        <v>37</v>
      </c>
      <c r="E564" s="31"/>
      <c r="F564" s="31"/>
      <c r="G564" s="31"/>
      <c r="H564" s="31">
        <v>3.98</v>
      </c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13">
        <f t="shared" ref="Z564:Z627" si="29">SUM(E564:Y564)</f>
        <v>3.98</v>
      </c>
      <c r="AA564" s="38"/>
      <c r="AB564" s="22">
        <f t="shared" ref="AB564:AB627" si="30">+Z564/$AA$877</f>
        <v>1.479550053215475E-4</v>
      </c>
    </row>
    <row r="565" spans="2:28" x14ac:dyDescent="0.25">
      <c r="B565" s="41"/>
      <c r="C565" s="88" t="s">
        <v>446</v>
      </c>
      <c r="D565" s="28" t="s">
        <v>743</v>
      </c>
      <c r="E565" s="31"/>
      <c r="F565" s="31"/>
      <c r="G565" s="31"/>
      <c r="H565" s="31">
        <v>23.35</v>
      </c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13">
        <f t="shared" si="29"/>
        <v>23.35</v>
      </c>
      <c r="AA565" s="38"/>
      <c r="AB565" s="22">
        <f t="shared" si="30"/>
        <v>8.6802748096938048E-4</v>
      </c>
    </row>
    <row r="566" spans="2:28" x14ac:dyDescent="0.25">
      <c r="B566" s="41"/>
      <c r="C566" s="88" t="s">
        <v>447</v>
      </c>
      <c r="D566" s="28" t="s">
        <v>742</v>
      </c>
      <c r="E566" s="31"/>
      <c r="F566" s="31"/>
      <c r="G566" s="31"/>
      <c r="H566" s="31">
        <v>16.239999999999998</v>
      </c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13">
        <f t="shared" si="29"/>
        <v>16.239999999999998</v>
      </c>
      <c r="AA566" s="38"/>
      <c r="AB566" s="22">
        <f t="shared" si="30"/>
        <v>6.03715901111038E-4</v>
      </c>
    </row>
    <row r="567" spans="2:28" x14ac:dyDescent="0.25">
      <c r="B567" s="41"/>
      <c r="C567" s="88" t="s">
        <v>448</v>
      </c>
      <c r="D567" s="30" t="s">
        <v>742</v>
      </c>
      <c r="E567" s="31"/>
      <c r="F567" s="31"/>
      <c r="G567" s="31"/>
      <c r="H567" s="31">
        <v>15.66</v>
      </c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13">
        <f t="shared" si="29"/>
        <v>15.66</v>
      </c>
      <c r="AA567" s="38"/>
      <c r="AB567" s="22">
        <f t="shared" si="30"/>
        <v>5.8215461892850099E-4</v>
      </c>
    </row>
    <row r="568" spans="2:28" x14ac:dyDescent="0.25">
      <c r="B568" s="41"/>
      <c r="C568" s="88" t="s">
        <v>449</v>
      </c>
      <c r="D568" s="30" t="s">
        <v>742</v>
      </c>
      <c r="E568" s="31"/>
      <c r="F568" s="31"/>
      <c r="G568" s="31"/>
      <c r="H568" s="31">
        <v>15.6</v>
      </c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13">
        <f t="shared" si="29"/>
        <v>15.6</v>
      </c>
      <c r="AA568" s="38"/>
      <c r="AB568" s="22">
        <f t="shared" si="30"/>
        <v>5.7992414146134188E-4</v>
      </c>
    </row>
    <row r="569" spans="2:28" x14ac:dyDescent="0.25">
      <c r="B569" s="41"/>
      <c r="C569" s="88" t="s">
        <v>450</v>
      </c>
      <c r="D569" s="30" t="s">
        <v>742</v>
      </c>
      <c r="E569" s="31"/>
      <c r="F569" s="31"/>
      <c r="G569" s="31"/>
      <c r="H569" s="31">
        <v>15.6</v>
      </c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13">
        <f t="shared" si="29"/>
        <v>15.6</v>
      </c>
      <c r="AA569" s="38"/>
      <c r="AB569" s="22">
        <f t="shared" si="30"/>
        <v>5.7992414146134188E-4</v>
      </c>
    </row>
    <row r="570" spans="2:28" x14ac:dyDescent="0.25">
      <c r="B570" s="41"/>
      <c r="C570" s="88" t="s">
        <v>451</v>
      </c>
      <c r="D570" s="30" t="s">
        <v>742</v>
      </c>
      <c r="E570" s="31"/>
      <c r="F570" s="31"/>
      <c r="G570" s="31"/>
      <c r="H570" s="31">
        <v>15.66</v>
      </c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13">
        <f t="shared" si="29"/>
        <v>15.66</v>
      </c>
      <c r="AA570" s="38"/>
      <c r="AB570" s="22">
        <f t="shared" si="30"/>
        <v>5.8215461892850099E-4</v>
      </c>
    </row>
    <row r="571" spans="2:28" x14ac:dyDescent="0.25">
      <c r="B571" s="41"/>
      <c r="C571" s="88" t="s">
        <v>452</v>
      </c>
      <c r="D571" s="30" t="s">
        <v>742</v>
      </c>
      <c r="E571" s="31"/>
      <c r="F571" s="31"/>
      <c r="G571" s="31"/>
      <c r="H571" s="31">
        <v>15.6</v>
      </c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13">
        <f t="shared" si="29"/>
        <v>15.6</v>
      </c>
      <c r="AA571" s="38"/>
      <c r="AB571" s="22">
        <f t="shared" si="30"/>
        <v>5.7992414146134188E-4</v>
      </c>
    </row>
    <row r="572" spans="2:28" x14ac:dyDescent="0.25">
      <c r="B572" s="41"/>
      <c r="C572" s="88" t="s">
        <v>454</v>
      </c>
      <c r="D572" s="30" t="s">
        <v>742</v>
      </c>
      <c r="E572" s="31"/>
      <c r="F572" s="31"/>
      <c r="G572" s="31"/>
      <c r="H572" s="31">
        <v>17.760000000000002</v>
      </c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13">
        <f t="shared" si="29"/>
        <v>17.760000000000002</v>
      </c>
      <c r="AA572" s="38"/>
      <c r="AB572" s="22">
        <f t="shared" si="30"/>
        <v>6.6022133027906626E-4</v>
      </c>
    </row>
    <row r="573" spans="2:28" x14ac:dyDescent="0.25">
      <c r="B573" s="41"/>
      <c r="C573" s="88" t="s">
        <v>455</v>
      </c>
      <c r="D573" s="30" t="s">
        <v>743</v>
      </c>
      <c r="E573" s="31"/>
      <c r="F573" s="31"/>
      <c r="G573" s="31"/>
      <c r="H573" s="31">
        <v>18.36</v>
      </c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13">
        <f t="shared" si="29"/>
        <v>18.36</v>
      </c>
      <c r="AA573" s="38"/>
      <c r="AB573" s="22">
        <f t="shared" si="30"/>
        <v>6.8252610495065627E-4</v>
      </c>
    </row>
    <row r="574" spans="2:28" x14ac:dyDescent="0.25">
      <c r="B574" s="41"/>
      <c r="C574" s="88" t="s">
        <v>456</v>
      </c>
      <c r="D574" s="30" t="s">
        <v>743</v>
      </c>
      <c r="E574" s="31"/>
      <c r="F574" s="31"/>
      <c r="G574" s="31"/>
      <c r="H574" s="31">
        <v>18.45</v>
      </c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13">
        <f t="shared" si="29"/>
        <v>18.45</v>
      </c>
      <c r="AA574" s="38"/>
      <c r="AB574" s="22">
        <f t="shared" si="30"/>
        <v>6.8587182115139472E-4</v>
      </c>
    </row>
    <row r="575" spans="2:28" x14ac:dyDescent="0.25">
      <c r="B575" s="41"/>
      <c r="C575" s="88" t="s">
        <v>457</v>
      </c>
      <c r="D575" s="30" t="s">
        <v>743</v>
      </c>
      <c r="E575" s="31"/>
      <c r="F575" s="31"/>
      <c r="G575" s="31"/>
      <c r="H575" s="31">
        <v>18.45</v>
      </c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13">
        <f t="shared" si="29"/>
        <v>18.45</v>
      </c>
      <c r="AA575" s="38"/>
      <c r="AB575" s="22">
        <f t="shared" si="30"/>
        <v>6.8587182115139472E-4</v>
      </c>
    </row>
    <row r="576" spans="2:28" x14ac:dyDescent="0.25">
      <c r="B576" s="41"/>
      <c r="C576" s="88" t="s">
        <v>458</v>
      </c>
      <c r="D576" s="30" t="s">
        <v>743</v>
      </c>
      <c r="E576" s="31"/>
      <c r="F576" s="31"/>
      <c r="G576" s="31"/>
      <c r="H576" s="31">
        <v>18.36</v>
      </c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13">
        <f t="shared" si="29"/>
        <v>18.36</v>
      </c>
      <c r="AA576" s="38"/>
      <c r="AB576" s="22">
        <f t="shared" si="30"/>
        <v>6.8252610495065627E-4</v>
      </c>
    </row>
    <row r="577" spans="2:28" x14ac:dyDescent="0.25">
      <c r="B577" s="41"/>
      <c r="C577" s="88" t="s">
        <v>459</v>
      </c>
      <c r="D577" s="30" t="s">
        <v>743</v>
      </c>
      <c r="E577" s="31"/>
      <c r="F577" s="31"/>
      <c r="G577" s="31"/>
      <c r="H577" s="31">
        <v>19.89</v>
      </c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13">
        <f t="shared" si="29"/>
        <v>19.89</v>
      </c>
      <c r="AA577" s="38"/>
      <c r="AB577" s="22">
        <f t="shared" si="30"/>
        <v>7.3940328036321097E-4</v>
      </c>
    </row>
    <row r="578" spans="2:28" x14ac:dyDescent="0.25">
      <c r="B578" s="41"/>
      <c r="C578" s="88" t="s">
        <v>460</v>
      </c>
      <c r="D578" s="30" t="s">
        <v>37</v>
      </c>
      <c r="E578" s="31"/>
      <c r="F578" s="31"/>
      <c r="G578" s="31"/>
      <c r="H578" s="31">
        <v>2.87</v>
      </c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13">
        <f t="shared" si="29"/>
        <v>2.87</v>
      </c>
      <c r="AA578" s="38"/>
      <c r="AB578" s="22">
        <f t="shared" si="30"/>
        <v>1.0669117217910586E-4</v>
      </c>
    </row>
    <row r="579" spans="2:28" x14ac:dyDescent="0.25">
      <c r="B579" s="41"/>
      <c r="C579" s="88" t="s">
        <v>461</v>
      </c>
      <c r="D579" s="30" t="s">
        <v>37</v>
      </c>
      <c r="E579" s="31"/>
      <c r="F579" s="31"/>
      <c r="G579" s="31"/>
      <c r="H579" s="31">
        <v>5.13</v>
      </c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13">
        <f t="shared" si="29"/>
        <v>5.13</v>
      </c>
      <c r="AA579" s="38"/>
      <c r="AB579" s="22">
        <f t="shared" si="30"/>
        <v>1.9070582344209513E-4</v>
      </c>
    </row>
    <row r="580" spans="2:28" x14ac:dyDescent="0.25">
      <c r="B580" s="41"/>
      <c r="C580" s="88" t="s">
        <v>462</v>
      </c>
      <c r="D580" s="28" t="s">
        <v>37</v>
      </c>
      <c r="E580" s="31"/>
      <c r="F580" s="31"/>
      <c r="G580" s="31"/>
      <c r="H580" s="31">
        <v>5.13</v>
      </c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13">
        <f t="shared" si="29"/>
        <v>5.13</v>
      </c>
      <c r="AA580" s="38"/>
      <c r="AB580" s="22">
        <f t="shared" si="30"/>
        <v>1.9070582344209513E-4</v>
      </c>
    </row>
    <row r="581" spans="2:28" x14ac:dyDescent="0.25">
      <c r="B581" s="41"/>
      <c r="C581" s="88" t="s">
        <v>463</v>
      </c>
      <c r="D581" s="28" t="s">
        <v>37</v>
      </c>
      <c r="E581" s="31"/>
      <c r="F581" s="31"/>
      <c r="G581" s="31"/>
      <c r="H581" s="31">
        <v>4.8099999999999996</v>
      </c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13">
        <f t="shared" si="29"/>
        <v>4.8099999999999996</v>
      </c>
      <c r="AA581" s="38"/>
      <c r="AB581" s="22">
        <f t="shared" si="30"/>
        <v>1.7880994361724707E-4</v>
      </c>
    </row>
    <row r="582" spans="2:28" x14ac:dyDescent="0.25">
      <c r="B582" s="41"/>
      <c r="C582" s="88" t="s">
        <v>464</v>
      </c>
      <c r="D582" s="28" t="s">
        <v>743</v>
      </c>
      <c r="E582" s="31"/>
      <c r="F582" s="31"/>
      <c r="G582" s="31"/>
      <c r="H582" s="31">
        <v>18.3</v>
      </c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13">
        <f t="shared" si="29"/>
        <v>18.3</v>
      </c>
      <c r="AA582" s="38"/>
      <c r="AB582" s="22">
        <f t="shared" si="30"/>
        <v>6.8029562748349727E-4</v>
      </c>
    </row>
    <row r="583" spans="2:28" x14ac:dyDescent="0.25">
      <c r="B583" s="41"/>
      <c r="C583" s="88" t="s">
        <v>465</v>
      </c>
      <c r="D583" s="28" t="s">
        <v>743</v>
      </c>
      <c r="E583" s="31"/>
      <c r="F583" s="31"/>
      <c r="G583" s="31"/>
      <c r="H583" s="31">
        <v>18.45</v>
      </c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13">
        <f t="shared" si="29"/>
        <v>18.45</v>
      </c>
      <c r="AA583" s="38"/>
      <c r="AB583" s="22">
        <f t="shared" si="30"/>
        <v>6.8587182115139472E-4</v>
      </c>
    </row>
    <row r="584" spans="2:28" x14ac:dyDescent="0.25">
      <c r="B584" s="41"/>
      <c r="C584" s="88" t="s">
        <v>466</v>
      </c>
      <c r="D584" s="28" t="s">
        <v>743</v>
      </c>
      <c r="E584" s="31"/>
      <c r="F584" s="31"/>
      <c r="G584" s="31"/>
      <c r="H584" s="31">
        <v>18.45</v>
      </c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13">
        <f t="shared" si="29"/>
        <v>18.45</v>
      </c>
      <c r="AA584" s="38"/>
      <c r="AB584" s="22">
        <f t="shared" si="30"/>
        <v>6.8587182115139472E-4</v>
      </c>
    </row>
    <row r="585" spans="2:28" x14ac:dyDescent="0.25">
      <c r="B585" s="41"/>
      <c r="C585" s="88" t="s">
        <v>467</v>
      </c>
      <c r="D585" s="30" t="s">
        <v>743</v>
      </c>
      <c r="E585" s="31"/>
      <c r="F585" s="31"/>
      <c r="G585" s="31"/>
      <c r="H585" s="31">
        <v>18.36</v>
      </c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13">
        <f t="shared" si="29"/>
        <v>18.36</v>
      </c>
      <c r="AA585" s="38"/>
      <c r="AB585" s="22">
        <f t="shared" si="30"/>
        <v>6.8252610495065627E-4</v>
      </c>
    </row>
    <row r="586" spans="2:28" x14ac:dyDescent="0.25">
      <c r="B586" s="41"/>
      <c r="C586" s="88" t="s">
        <v>468</v>
      </c>
      <c r="D586" s="30" t="s">
        <v>743</v>
      </c>
      <c r="E586" s="31"/>
      <c r="F586" s="31"/>
      <c r="G586" s="31"/>
      <c r="H586" s="31">
        <v>18.71</v>
      </c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13">
        <f t="shared" si="29"/>
        <v>18.71</v>
      </c>
      <c r="AA586" s="38"/>
      <c r="AB586" s="22">
        <f t="shared" si="30"/>
        <v>6.9553722350908383E-4</v>
      </c>
    </row>
    <row r="587" spans="2:28" x14ac:dyDescent="0.25">
      <c r="B587" s="41"/>
      <c r="C587" s="88" t="s">
        <v>469</v>
      </c>
      <c r="D587" s="30" t="s">
        <v>743</v>
      </c>
      <c r="E587" s="31"/>
      <c r="F587" s="31"/>
      <c r="G587" s="31"/>
      <c r="H587" s="31"/>
      <c r="I587" s="31">
        <v>18.829999999999998</v>
      </c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13">
        <f t="shared" si="29"/>
        <v>18.829999999999998</v>
      </c>
      <c r="AA587" s="38"/>
      <c r="AB587" s="22">
        <f t="shared" si="30"/>
        <v>6.9999817844340173E-4</v>
      </c>
    </row>
    <row r="588" spans="2:28" x14ac:dyDescent="0.25">
      <c r="B588" s="41"/>
      <c r="C588" s="88" t="s">
        <v>470</v>
      </c>
      <c r="D588" s="30" t="s">
        <v>743</v>
      </c>
      <c r="E588" s="31"/>
      <c r="F588" s="31"/>
      <c r="G588" s="31"/>
      <c r="H588" s="31"/>
      <c r="I588" s="31">
        <v>18.63</v>
      </c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13">
        <f t="shared" si="29"/>
        <v>18.63</v>
      </c>
      <c r="AA588" s="38"/>
      <c r="AB588" s="22">
        <f t="shared" si="30"/>
        <v>6.9256325355287172E-4</v>
      </c>
    </row>
    <row r="589" spans="2:28" x14ac:dyDescent="0.25">
      <c r="B589" s="41"/>
      <c r="C589" s="88" t="s">
        <v>471</v>
      </c>
      <c r="D589" s="28" t="s">
        <v>743</v>
      </c>
      <c r="E589" s="31"/>
      <c r="F589" s="31"/>
      <c r="G589" s="31"/>
      <c r="H589" s="31"/>
      <c r="I589" s="31">
        <v>18.61</v>
      </c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13">
        <f t="shared" si="29"/>
        <v>18.61</v>
      </c>
      <c r="AA589" s="38"/>
      <c r="AB589" s="22">
        <f t="shared" si="30"/>
        <v>6.9181976106381883E-4</v>
      </c>
    </row>
    <row r="590" spans="2:28" x14ac:dyDescent="0.25">
      <c r="B590" s="41"/>
      <c r="C590" s="88" t="s">
        <v>472</v>
      </c>
      <c r="D590" s="28" t="s">
        <v>743</v>
      </c>
      <c r="E590" s="31"/>
      <c r="F590" s="31"/>
      <c r="G590" s="31"/>
      <c r="H590" s="31"/>
      <c r="I590" s="31">
        <v>18.62</v>
      </c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13">
        <f t="shared" si="29"/>
        <v>18.62</v>
      </c>
      <c r="AA590" s="38"/>
      <c r="AB590" s="22">
        <f t="shared" si="30"/>
        <v>6.9219150730834538E-4</v>
      </c>
    </row>
    <row r="591" spans="2:28" x14ac:dyDescent="0.25">
      <c r="B591" s="41"/>
      <c r="C591" s="88" t="s">
        <v>473</v>
      </c>
      <c r="D591" s="28" t="s">
        <v>743</v>
      </c>
      <c r="E591" s="31"/>
      <c r="F591" s="31"/>
      <c r="G591" s="31"/>
      <c r="H591" s="31"/>
      <c r="I591" s="31">
        <v>18.63</v>
      </c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13">
        <f t="shared" si="29"/>
        <v>18.63</v>
      </c>
      <c r="AA591" s="38"/>
      <c r="AB591" s="22">
        <f t="shared" si="30"/>
        <v>6.9256325355287172E-4</v>
      </c>
    </row>
    <row r="592" spans="2:28" x14ac:dyDescent="0.25">
      <c r="B592" s="41"/>
      <c r="C592" s="88" t="s">
        <v>474</v>
      </c>
      <c r="D592" s="28" t="s">
        <v>743</v>
      </c>
      <c r="E592" s="31"/>
      <c r="F592" s="31"/>
      <c r="G592" s="31"/>
      <c r="H592" s="31"/>
      <c r="I592" s="31">
        <v>18.61</v>
      </c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13">
        <f t="shared" si="29"/>
        <v>18.61</v>
      </c>
      <c r="AA592" s="38"/>
      <c r="AB592" s="22">
        <f t="shared" si="30"/>
        <v>6.9181976106381883E-4</v>
      </c>
    </row>
    <row r="593" spans="2:28" x14ac:dyDescent="0.25">
      <c r="B593" s="41"/>
      <c r="C593" s="88" t="s">
        <v>475</v>
      </c>
      <c r="D593" s="28" t="s">
        <v>743</v>
      </c>
      <c r="E593" s="31"/>
      <c r="F593" s="31"/>
      <c r="G593" s="31"/>
      <c r="H593" s="31"/>
      <c r="I593" s="31">
        <v>18.62</v>
      </c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13">
        <f t="shared" si="29"/>
        <v>18.62</v>
      </c>
      <c r="AA593" s="38"/>
      <c r="AB593" s="22">
        <f t="shared" si="30"/>
        <v>6.9219150730834538E-4</v>
      </c>
    </row>
    <row r="594" spans="2:28" x14ac:dyDescent="0.25">
      <c r="B594" s="41"/>
      <c r="C594" s="88" t="s">
        <v>476</v>
      </c>
      <c r="D594" s="28" t="s">
        <v>743</v>
      </c>
      <c r="E594" s="31"/>
      <c r="F594" s="31"/>
      <c r="G594" s="31"/>
      <c r="H594" s="31"/>
      <c r="I594" s="31">
        <v>18.63</v>
      </c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13">
        <f t="shared" si="29"/>
        <v>18.63</v>
      </c>
      <c r="AA594" s="38"/>
      <c r="AB594" s="22">
        <f t="shared" si="30"/>
        <v>6.9256325355287172E-4</v>
      </c>
    </row>
    <row r="595" spans="2:28" x14ac:dyDescent="0.25">
      <c r="B595" s="41"/>
      <c r="C595" s="88" t="s">
        <v>477</v>
      </c>
      <c r="D595" s="28" t="s">
        <v>743</v>
      </c>
      <c r="E595" s="31"/>
      <c r="F595" s="31"/>
      <c r="G595" s="31"/>
      <c r="H595" s="31"/>
      <c r="I595" s="31">
        <v>18.61</v>
      </c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13">
        <f t="shared" si="29"/>
        <v>18.61</v>
      </c>
      <c r="AA595" s="38"/>
      <c r="AB595" s="22">
        <f t="shared" si="30"/>
        <v>6.9181976106381883E-4</v>
      </c>
    </row>
    <row r="596" spans="2:28" x14ac:dyDescent="0.25">
      <c r="B596" s="41"/>
      <c r="C596" s="88" t="s">
        <v>478</v>
      </c>
      <c r="D596" s="28" t="s">
        <v>743</v>
      </c>
      <c r="E596" s="31"/>
      <c r="F596" s="31"/>
      <c r="G596" s="31"/>
      <c r="H596" s="31"/>
      <c r="I596" s="31">
        <v>17.93</v>
      </c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13">
        <f t="shared" si="29"/>
        <v>17.93</v>
      </c>
      <c r="AA596" s="38"/>
      <c r="AB596" s="22">
        <f t="shared" si="30"/>
        <v>6.6654101643601671E-4</v>
      </c>
    </row>
    <row r="597" spans="2:28" x14ac:dyDescent="0.25">
      <c r="B597" s="41"/>
      <c r="C597" s="88" t="s">
        <v>479</v>
      </c>
      <c r="D597" s="28" t="s">
        <v>743</v>
      </c>
      <c r="E597" s="31"/>
      <c r="F597" s="31"/>
      <c r="G597" s="31"/>
      <c r="H597" s="31"/>
      <c r="I597" s="31">
        <v>17.940000000000001</v>
      </c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13">
        <f t="shared" si="29"/>
        <v>17.940000000000001</v>
      </c>
      <c r="AA597" s="38"/>
      <c r="AB597" s="22">
        <f t="shared" si="30"/>
        <v>6.6691276268054326E-4</v>
      </c>
    </row>
    <row r="598" spans="2:28" x14ac:dyDescent="0.25">
      <c r="B598" s="41"/>
      <c r="C598" s="88" t="s">
        <v>480</v>
      </c>
      <c r="D598" s="28" t="s">
        <v>743</v>
      </c>
      <c r="E598" s="31"/>
      <c r="F598" s="31"/>
      <c r="G598" s="31"/>
      <c r="H598" s="31"/>
      <c r="I598" s="31">
        <v>19.66</v>
      </c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13">
        <f t="shared" si="29"/>
        <v>19.66</v>
      </c>
      <c r="AA598" s="38"/>
      <c r="AB598" s="22">
        <f t="shared" si="30"/>
        <v>7.3085311673910141E-4</v>
      </c>
    </row>
    <row r="599" spans="2:28" x14ac:dyDescent="0.25">
      <c r="B599" s="41"/>
      <c r="C599" s="88" t="s">
        <v>481</v>
      </c>
      <c r="D599" s="28" t="s">
        <v>37</v>
      </c>
      <c r="E599" s="31"/>
      <c r="F599" s="31"/>
      <c r="G599" s="31"/>
      <c r="H599" s="31"/>
      <c r="I599" s="31">
        <v>3.8</v>
      </c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13">
        <f t="shared" si="29"/>
        <v>3.8</v>
      </c>
      <c r="AA599" s="38"/>
      <c r="AB599" s="22">
        <f t="shared" si="30"/>
        <v>1.4126357292007047E-4</v>
      </c>
    </row>
    <row r="600" spans="2:28" x14ac:dyDescent="0.25">
      <c r="B600" s="41"/>
      <c r="C600" s="88" t="s">
        <v>482</v>
      </c>
      <c r="D600" s="28" t="s">
        <v>37</v>
      </c>
      <c r="E600" s="31"/>
      <c r="F600" s="31"/>
      <c r="G600" s="31"/>
      <c r="H600" s="31"/>
      <c r="I600" s="31">
        <v>2.77</v>
      </c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13">
        <f t="shared" si="29"/>
        <v>2.77</v>
      </c>
      <c r="AA600" s="38"/>
      <c r="AB600" s="22">
        <f t="shared" si="30"/>
        <v>1.0297370973384085E-4</v>
      </c>
    </row>
    <row r="601" spans="2:28" x14ac:dyDescent="0.25">
      <c r="B601" s="36" t="s">
        <v>875</v>
      </c>
      <c r="C601" s="88" t="s">
        <v>483</v>
      </c>
      <c r="D601" s="28" t="s">
        <v>743</v>
      </c>
      <c r="E601" s="31"/>
      <c r="F601" s="31"/>
      <c r="G601" s="31"/>
      <c r="H601" s="31"/>
      <c r="I601" s="31">
        <v>18.72</v>
      </c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13">
        <f t="shared" si="29"/>
        <v>18.72</v>
      </c>
      <c r="AA601" s="38"/>
      <c r="AB601" s="22">
        <f t="shared" si="30"/>
        <v>6.9590896975361028E-4</v>
      </c>
    </row>
    <row r="602" spans="2:28" x14ac:dyDescent="0.25">
      <c r="B602" s="36" t="s">
        <v>874</v>
      </c>
      <c r="C602" s="88" t="s">
        <v>484</v>
      </c>
      <c r="D602" s="28" t="s">
        <v>743</v>
      </c>
      <c r="E602" s="31"/>
      <c r="F602" s="31"/>
      <c r="G602" s="31"/>
      <c r="H602" s="31"/>
      <c r="I602" s="31">
        <v>18.899999999999999</v>
      </c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13">
        <f t="shared" si="29"/>
        <v>18.899999999999999</v>
      </c>
      <c r="AA602" s="38"/>
      <c r="AB602" s="22">
        <f t="shared" si="30"/>
        <v>7.0260040215508728E-4</v>
      </c>
    </row>
    <row r="603" spans="2:28" x14ac:dyDescent="0.25">
      <c r="B603" s="41"/>
      <c r="C603" s="88" t="s">
        <v>485</v>
      </c>
      <c r="D603" s="28" t="s">
        <v>743</v>
      </c>
      <c r="E603" s="31"/>
      <c r="F603" s="31"/>
      <c r="G603" s="31"/>
      <c r="H603" s="31"/>
      <c r="I603" s="31">
        <v>20.47</v>
      </c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13">
        <f t="shared" si="29"/>
        <v>20.47</v>
      </c>
      <c r="AA603" s="38"/>
      <c r="AB603" s="22">
        <f t="shared" si="30"/>
        <v>7.6096456254574798E-4</v>
      </c>
    </row>
    <row r="604" spans="2:28" x14ac:dyDescent="0.25">
      <c r="B604" s="41"/>
      <c r="C604" s="88" t="s">
        <v>486</v>
      </c>
      <c r="D604" s="28" t="s">
        <v>743</v>
      </c>
      <c r="E604" s="31"/>
      <c r="F604" s="31"/>
      <c r="G604" s="31"/>
      <c r="H604" s="31"/>
      <c r="I604" s="31">
        <v>18.72</v>
      </c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13">
        <f t="shared" si="29"/>
        <v>18.72</v>
      </c>
      <c r="AA604" s="38"/>
      <c r="AB604" s="22">
        <f t="shared" si="30"/>
        <v>6.9590896975361028E-4</v>
      </c>
    </row>
    <row r="605" spans="2:28" x14ac:dyDescent="0.25">
      <c r="B605" s="41"/>
      <c r="C605" s="88" t="s">
        <v>487</v>
      </c>
      <c r="D605" s="28" t="s">
        <v>743</v>
      </c>
      <c r="E605" s="31"/>
      <c r="F605" s="31"/>
      <c r="G605" s="31"/>
      <c r="H605" s="31"/>
      <c r="I605" s="31">
        <v>18.899999999999999</v>
      </c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13">
        <f t="shared" si="29"/>
        <v>18.899999999999999</v>
      </c>
      <c r="AA605" s="38"/>
      <c r="AB605" s="22">
        <f t="shared" si="30"/>
        <v>7.0260040215508728E-4</v>
      </c>
    </row>
    <row r="606" spans="2:28" x14ac:dyDescent="0.25">
      <c r="B606" s="41"/>
      <c r="C606" s="88" t="s">
        <v>488</v>
      </c>
      <c r="D606" s="28" t="s">
        <v>743</v>
      </c>
      <c r="E606" s="31"/>
      <c r="F606" s="31"/>
      <c r="G606" s="31"/>
      <c r="H606" s="31"/>
      <c r="I606" s="31">
        <v>19.04</v>
      </c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13">
        <f t="shared" si="29"/>
        <v>19.04</v>
      </c>
      <c r="AA606" s="38"/>
      <c r="AB606" s="22">
        <f t="shared" si="30"/>
        <v>7.0780484957845829E-4</v>
      </c>
    </row>
    <row r="607" spans="2:28" x14ac:dyDescent="0.25">
      <c r="B607" s="41"/>
      <c r="C607" s="88" t="s">
        <v>489</v>
      </c>
      <c r="D607" s="30" t="s">
        <v>743</v>
      </c>
      <c r="E607" s="31"/>
      <c r="F607" s="31"/>
      <c r="G607" s="31"/>
      <c r="H607" s="31"/>
      <c r="I607" s="31"/>
      <c r="J607" s="31">
        <v>18.829999999999998</v>
      </c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13">
        <f t="shared" si="29"/>
        <v>18.829999999999998</v>
      </c>
      <c r="AA607" s="38"/>
      <c r="AB607" s="22">
        <f t="shared" si="30"/>
        <v>6.9999817844340173E-4</v>
      </c>
    </row>
    <row r="608" spans="2:28" x14ac:dyDescent="0.25">
      <c r="B608" s="41"/>
      <c r="C608" s="88" t="s">
        <v>490</v>
      </c>
      <c r="D608" s="30" t="s">
        <v>743</v>
      </c>
      <c r="E608" s="31"/>
      <c r="F608" s="31"/>
      <c r="G608" s="31"/>
      <c r="H608" s="31"/>
      <c r="I608" s="31"/>
      <c r="J608" s="31">
        <v>18.63</v>
      </c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13">
        <f t="shared" si="29"/>
        <v>18.63</v>
      </c>
      <c r="AA608" s="38"/>
      <c r="AB608" s="22">
        <f t="shared" si="30"/>
        <v>6.9256325355287172E-4</v>
      </c>
    </row>
    <row r="609" spans="2:28" x14ac:dyDescent="0.25">
      <c r="B609" s="41"/>
      <c r="C609" s="88" t="s">
        <v>491</v>
      </c>
      <c r="D609" s="30" t="s">
        <v>743</v>
      </c>
      <c r="E609" s="31"/>
      <c r="F609" s="31"/>
      <c r="G609" s="31"/>
      <c r="H609" s="31"/>
      <c r="I609" s="31"/>
      <c r="J609" s="31">
        <v>18.61</v>
      </c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13">
        <f t="shared" si="29"/>
        <v>18.61</v>
      </c>
      <c r="AA609" s="38"/>
      <c r="AB609" s="22">
        <f t="shared" si="30"/>
        <v>6.9181976106381883E-4</v>
      </c>
    </row>
    <row r="610" spans="2:28" x14ac:dyDescent="0.25">
      <c r="B610" s="41"/>
      <c r="C610" s="88" t="s">
        <v>492</v>
      </c>
      <c r="D610" s="30" t="s">
        <v>743</v>
      </c>
      <c r="E610" s="31"/>
      <c r="F610" s="31"/>
      <c r="G610" s="31"/>
      <c r="H610" s="31"/>
      <c r="I610" s="31"/>
      <c r="J610" s="31">
        <v>18.62</v>
      </c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13">
        <f t="shared" si="29"/>
        <v>18.62</v>
      </c>
      <c r="AA610" s="38"/>
      <c r="AB610" s="22">
        <f t="shared" si="30"/>
        <v>6.9219150730834538E-4</v>
      </c>
    </row>
    <row r="611" spans="2:28" x14ac:dyDescent="0.25">
      <c r="B611" s="41"/>
      <c r="C611" s="88" t="s">
        <v>493</v>
      </c>
      <c r="D611" s="30" t="s">
        <v>743</v>
      </c>
      <c r="E611" s="31"/>
      <c r="F611" s="31"/>
      <c r="G611" s="31"/>
      <c r="H611" s="31"/>
      <c r="I611" s="31"/>
      <c r="J611" s="31">
        <v>18.63</v>
      </c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13">
        <f t="shared" si="29"/>
        <v>18.63</v>
      </c>
      <c r="AA611" s="38"/>
      <c r="AB611" s="22">
        <f t="shared" si="30"/>
        <v>6.9256325355287172E-4</v>
      </c>
    </row>
    <row r="612" spans="2:28" x14ac:dyDescent="0.25">
      <c r="B612" s="41"/>
      <c r="C612" s="88" t="s">
        <v>494</v>
      </c>
      <c r="D612" s="30" t="s">
        <v>743</v>
      </c>
      <c r="E612" s="31"/>
      <c r="F612" s="31"/>
      <c r="G612" s="31"/>
      <c r="H612" s="31"/>
      <c r="I612" s="31"/>
      <c r="J612" s="31">
        <v>18.61</v>
      </c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13">
        <f t="shared" si="29"/>
        <v>18.61</v>
      </c>
      <c r="AA612" s="38"/>
      <c r="AB612" s="22">
        <f t="shared" si="30"/>
        <v>6.9181976106381883E-4</v>
      </c>
    </row>
    <row r="613" spans="2:28" x14ac:dyDescent="0.25">
      <c r="B613" s="36"/>
      <c r="C613" s="88" t="s">
        <v>495</v>
      </c>
      <c r="D613" s="30" t="s">
        <v>743</v>
      </c>
      <c r="E613" s="31"/>
      <c r="F613" s="31"/>
      <c r="G613" s="31"/>
      <c r="H613" s="31"/>
      <c r="I613" s="31"/>
      <c r="J613" s="31">
        <v>18.62</v>
      </c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13">
        <f t="shared" si="29"/>
        <v>18.62</v>
      </c>
      <c r="AA613" s="38"/>
      <c r="AB613" s="22">
        <f t="shared" si="30"/>
        <v>6.9219150730834538E-4</v>
      </c>
    </row>
    <row r="614" spans="2:28" x14ac:dyDescent="0.25">
      <c r="B614" s="36"/>
      <c r="C614" s="88" t="s">
        <v>496</v>
      </c>
      <c r="D614" s="30" t="s">
        <v>743</v>
      </c>
      <c r="E614" s="31"/>
      <c r="F614" s="31"/>
      <c r="G614" s="31"/>
      <c r="H614" s="31"/>
      <c r="I614" s="31"/>
      <c r="J614" s="31">
        <v>18.63</v>
      </c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13">
        <f t="shared" si="29"/>
        <v>18.63</v>
      </c>
      <c r="AA614" s="38"/>
      <c r="AB614" s="22">
        <f t="shared" si="30"/>
        <v>6.9256325355287172E-4</v>
      </c>
    </row>
    <row r="615" spans="2:28" x14ac:dyDescent="0.25">
      <c r="B615" s="41"/>
      <c r="C615" s="88" t="s">
        <v>497</v>
      </c>
      <c r="D615" s="28" t="s">
        <v>743</v>
      </c>
      <c r="E615" s="31"/>
      <c r="F615" s="31"/>
      <c r="G615" s="31"/>
      <c r="H615" s="31"/>
      <c r="I615" s="31"/>
      <c r="J615" s="31">
        <v>18.61</v>
      </c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13">
        <f t="shared" si="29"/>
        <v>18.61</v>
      </c>
      <c r="AA615" s="38"/>
      <c r="AB615" s="22">
        <f t="shared" si="30"/>
        <v>6.9181976106381883E-4</v>
      </c>
    </row>
    <row r="616" spans="2:28" x14ac:dyDescent="0.25">
      <c r="B616" s="41"/>
      <c r="C616" s="88" t="s">
        <v>498</v>
      </c>
      <c r="D616" s="28" t="s">
        <v>743</v>
      </c>
      <c r="E616" s="31"/>
      <c r="F616" s="31"/>
      <c r="G616" s="31"/>
      <c r="H616" s="31"/>
      <c r="I616" s="31"/>
      <c r="J616" s="31">
        <v>17.93</v>
      </c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13">
        <f t="shared" si="29"/>
        <v>17.93</v>
      </c>
      <c r="AA616" s="38"/>
      <c r="AB616" s="22">
        <f t="shared" si="30"/>
        <v>6.6654101643601671E-4</v>
      </c>
    </row>
    <row r="617" spans="2:28" x14ac:dyDescent="0.25">
      <c r="B617" s="41"/>
      <c r="C617" s="88" t="s">
        <v>499</v>
      </c>
      <c r="D617" s="28" t="s">
        <v>743</v>
      </c>
      <c r="E617" s="31"/>
      <c r="F617" s="31"/>
      <c r="G617" s="31"/>
      <c r="H617" s="31"/>
      <c r="I617" s="31"/>
      <c r="J617" s="31">
        <v>17.940000000000001</v>
      </c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13">
        <f t="shared" si="29"/>
        <v>17.940000000000001</v>
      </c>
      <c r="AA617" s="38"/>
      <c r="AB617" s="22">
        <f t="shared" si="30"/>
        <v>6.6691276268054326E-4</v>
      </c>
    </row>
    <row r="618" spans="2:28" x14ac:dyDescent="0.25">
      <c r="B618" s="41"/>
      <c r="C618" s="88" t="s">
        <v>500</v>
      </c>
      <c r="D618" s="28" t="s">
        <v>743</v>
      </c>
      <c r="E618" s="31"/>
      <c r="F618" s="31"/>
      <c r="G618" s="31"/>
      <c r="H618" s="31"/>
      <c r="I618" s="31"/>
      <c r="J618" s="31">
        <v>19.66</v>
      </c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13">
        <f t="shared" si="29"/>
        <v>19.66</v>
      </c>
      <c r="AA618" s="38"/>
      <c r="AB618" s="22">
        <f t="shared" si="30"/>
        <v>7.3085311673910141E-4</v>
      </c>
    </row>
    <row r="619" spans="2:28" x14ac:dyDescent="0.25">
      <c r="B619" s="41"/>
      <c r="C619" s="88" t="s">
        <v>501</v>
      </c>
      <c r="D619" s="28" t="s">
        <v>37</v>
      </c>
      <c r="E619" s="31"/>
      <c r="F619" s="31"/>
      <c r="G619" s="31"/>
      <c r="H619" s="31"/>
      <c r="I619" s="31"/>
      <c r="J619" s="31">
        <v>6.06</v>
      </c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13">
        <f t="shared" si="29"/>
        <v>6.06</v>
      </c>
      <c r="AA619" s="38"/>
      <c r="AB619" s="22">
        <f t="shared" si="30"/>
        <v>2.2527822418305974E-4</v>
      </c>
    </row>
    <row r="620" spans="2:28" x14ac:dyDescent="0.25">
      <c r="B620" s="41"/>
      <c r="C620" s="88" t="s">
        <v>502</v>
      </c>
      <c r="D620" s="28" t="s">
        <v>37</v>
      </c>
      <c r="E620" s="31"/>
      <c r="F620" s="31"/>
      <c r="G620" s="31"/>
      <c r="H620" s="31"/>
      <c r="I620" s="31"/>
      <c r="J620" s="31">
        <v>5.05</v>
      </c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13">
        <f t="shared" si="29"/>
        <v>5.05</v>
      </c>
      <c r="AA620" s="38"/>
      <c r="AB620" s="22">
        <f t="shared" si="30"/>
        <v>1.8773185348588311E-4</v>
      </c>
    </row>
    <row r="621" spans="2:28" x14ac:dyDescent="0.25">
      <c r="B621" s="41"/>
      <c r="C621" s="88" t="s">
        <v>503</v>
      </c>
      <c r="D621" s="28" t="s">
        <v>37</v>
      </c>
      <c r="E621" s="31"/>
      <c r="F621" s="31"/>
      <c r="G621" s="31"/>
      <c r="H621" s="31"/>
      <c r="I621" s="31"/>
      <c r="J621" s="31">
        <v>3.88</v>
      </c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13">
        <f t="shared" si="29"/>
        <v>3.88</v>
      </c>
      <c r="AA621" s="38"/>
      <c r="AB621" s="22">
        <f t="shared" si="30"/>
        <v>1.4423754287628247E-4</v>
      </c>
    </row>
    <row r="622" spans="2:28" x14ac:dyDescent="0.25">
      <c r="B622" s="41"/>
      <c r="C622" s="88" t="s">
        <v>504</v>
      </c>
      <c r="D622" s="28" t="s">
        <v>37</v>
      </c>
      <c r="E622" s="31"/>
      <c r="F622" s="31"/>
      <c r="G622" s="31"/>
      <c r="H622" s="31"/>
      <c r="I622" s="31"/>
      <c r="J622" s="31">
        <v>3.98</v>
      </c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13">
        <f t="shared" si="29"/>
        <v>3.98</v>
      </c>
      <c r="AA622" s="38"/>
      <c r="AB622" s="22">
        <f t="shared" si="30"/>
        <v>1.479550053215475E-4</v>
      </c>
    </row>
    <row r="623" spans="2:28" x14ac:dyDescent="0.25">
      <c r="B623" s="41"/>
      <c r="C623" s="88" t="s">
        <v>505</v>
      </c>
      <c r="D623" s="28" t="s">
        <v>37</v>
      </c>
      <c r="E623" s="31"/>
      <c r="F623" s="31"/>
      <c r="G623" s="31"/>
      <c r="H623" s="31"/>
      <c r="I623" s="31"/>
      <c r="J623" s="31">
        <v>3.8</v>
      </c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13">
        <f t="shared" si="29"/>
        <v>3.8</v>
      </c>
      <c r="AA623" s="38"/>
      <c r="AB623" s="22">
        <f t="shared" si="30"/>
        <v>1.4126357292007047E-4</v>
      </c>
    </row>
    <row r="624" spans="2:28" x14ac:dyDescent="0.25">
      <c r="B624" s="41"/>
      <c r="C624" s="88" t="s">
        <v>506</v>
      </c>
      <c r="D624" s="28" t="s">
        <v>742</v>
      </c>
      <c r="E624" s="31"/>
      <c r="F624" s="31"/>
      <c r="G624" s="31"/>
      <c r="H624" s="31"/>
      <c r="I624" s="31"/>
      <c r="J624" s="31">
        <v>16.8</v>
      </c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13">
        <f t="shared" si="29"/>
        <v>16.8</v>
      </c>
      <c r="AA624" s="38"/>
      <c r="AB624" s="22">
        <f t="shared" si="30"/>
        <v>6.2453369080452212E-4</v>
      </c>
    </row>
    <row r="625" spans="2:28" x14ac:dyDescent="0.25">
      <c r="B625" s="41"/>
      <c r="C625" s="88" t="s">
        <v>507</v>
      </c>
      <c r="D625" s="28" t="s">
        <v>742</v>
      </c>
      <c r="E625" s="31"/>
      <c r="F625" s="31"/>
      <c r="G625" s="31"/>
      <c r="H625" s="31"/>
      <c r="I625" s="31"/>
      <c r="J625" s="31">
        <v>16.2</v>
      </c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13">
        <f t="shared" si="29"/>
        <v>16.2</v>
      </c>
      <c r="AA625" s="38"/>
      <c r="AB625" s="22">
        <f t="shared" si="30"/>
        <v>6.02228916132932E-4</v>
      </c>
    </row>
    <row r="626" spans="2:28" x14ac:dyDescent="0.25">
      <c r="B626" s="41"/>
      <c r="C626" s="88" t="s">
        <v>508</v>
      </c>
      <c r="D626" s="28" t="s">
        <v>742</v>
      </c>
      <c r="E626" s="31"/>
      <c r="F626" s="31"/>
      <c r="G626" s="31"/>
      <c r="H626" s="31"/>
      <c r="I626" s="31"/>
      <c r="J626" s="31">
        <v>16.02</v>
      </c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13">
        <f t="shared" si="29"/>
        <v>16.02</v>
      </c>
      <c r="AA626" s="38"/>
      <c r="AB626" s="22">
        <f t="shared" si="30"/>
        <v>5.95537483731455E-4</v>
      </c>
    </row>
    <row r="627" spans="2:28" x14ac:dyDescent="0.25">
      <c r="B627" s="41"/>
      <c r="C627" s="88" t="s">
        <v>509</v>
      </c>
      <c r="D627" s="28" t="s">
        <v>742</v>
      </c>
      <c r="E627" s="31"/>
      <c r="F627" s="31"/>
      <c r="G627" s="31"/>
      <c r="H627" s="31"/>
      <c r="I627" s="31"/>
      <c r="J627" s="31">
        <v>16.02</v>
      </c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13">
        <f t="shared" si="29"/>
        <v>16.02</v>
      </c>
      <c r="AA627" s="38"/>
      <c r="AB627" s="22">
        <f t="shared" si="30"/>
        <v>5.95537483731455E-4</v>
      </c>
    </row>
    <row r="628" spans="2:28" x14ac:dyDescent="0.25">
      <c r="B628" s="41"/>
      <c r="C628" s="88" t="s">
        <v>510</v>
      </c>
      <c r="D628" s="28" t="s">
        <v>742</v>
      </c>
      <c r="E628" s="31"/>
      <c r="F628" s="31"/>
      <c r="G628" s="31"/>
      <c r="H628" s="31"/>
      <c r="I628" s="31"/>
      <c r="J628" s="31">
        <v>16.2</v>
      </c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13">
        <f t="shared" ref="Z628:Z691" si="31">SUM(E628:Y628)</f>
        <v>16.2</v>
      </c>
      <c r="AA628" s="38"/>
      <c r="AB628" s="22">
        <f t="shared" ref="AB628:AB691" si="32">+Z628/$AA$877</f>
        <v>6.02228916132932E-4</v>
      </c>
    </row>
    <row r="629" spans="2:28" x14ac:dyDescent="0.25">
      <c r="B629" s="41"/>
      <c r="C629" s="88" t="s">
        <v>511</v>
      </c>
      <c r="D629" s="28" t="s">
        <v>742</v>
      </c>
      <c r="E629" s="31"/>
      <c r="F629" s="31"/>
      <c r="G629" s="31"/>
      <c r="H629" s="31"/>
      <c r="I629" s="31"/>
      <c r="J629" s="31">
        <v>16.02</v>
      </c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13">
        <f t="shared" si="31"/>
        <v>16.02</v>
      </c>
      <c r="AA629" s="38"/>
      <c r="AB629" s="22">
        <f t="shared" si="32"/>
        <v>5.95537483731455E-4</v>
      </c>
    </row>
    <row r="630" spans="2:28" x14ac:dyDescent="0.25">
      <c r="B630" s="41"/>
      <c r="C630" s="88" t="s">
        <v>512</v>
      </c>
      <c r="D630" s="28" t="s">
        <v>742</v>
      </c>
      <c r="E630" s="31"/>
      <c r="F630" s="31"/>
      <c r="G630" s="31"/>
      <c r="H630" s="31"/>
      <c r="I630" s="31"/>
      <c r="J630" s="31">
        <v>18.23</v>
      </c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13">
        <f t="shared" si="31"/>
        <v>18.23</v>
      </c>
      <c r="AA630" s="38"/>
      <c r="AB630" s="22">
        <f t="shared" si="32"/>
        <v>6.7769340377181182E-4</v>
      </c>
    </row>
    <row r="631" spans="2:28" x14ac:dyDescent="0.25">
      <c r="B631" s="41"/>
      <c r="C631" s="88" t="s">
        <v>513</v>
      </c>
      <c r="D631" s="28" t="s">
        <v>743</v>
      </c>
      <c r="E631" s="31"/>
      <c r="F631" s="31"/>
      <c r="G631" s="31"/>
      <c r="H631" s="31"/>
      <c r="I631" s="31"/>
      <c r="J631" s="31">
        <v>18.899999999999999</v>
      </c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13">
        <f t="shared" si="31"/>
        <v>18.899999999999999</v>
      </c>
      <c r="AA631" s="38"/>
      <c r="AB631" s="22">
        <f t="shared" si="32"/>
        <v>7.0260040215508728E-4</v>
      </c>
    </row>
    <row r="632" spans="2:28" x14ac:dyDescent="0.25">
      <c r="B632" s="41"/>
      <c r="C632" s="88" t="s">
        <v>514</v>
      </c>
      <c r="D632" s="28" t="s">
        <v>743</v>
      </c>
      <c r="E632" s="31"/>
      <c r="F632" s="31"/>
      <c r="G632" s="31"/>
      <c r="H632" s="31"/>
      <c r="I632" s="31"/>
      <c r="J632" s="31">
        <v>18.87</v>
      </c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13">
        <f t="shared" si="31"/>
        <v>18.87</v>
      </c>
      <c r="AA632" s="38"/>
      <c r="AB632" s="22">
        <f t="shared" si="32"/>
        <v>7.0148516342150784E-4</v>
      </c>
    </row>
    <row r="633" spans="2:28" x14ac:dyDescent="0.25">
      <c r="B633" s="41"/>
      <c r="C633" s="88" t="s">
        <v>515</v>
      </c>
      <c r="D633" s="30" t="s">
        <v>743</v>
      </c>
      <c r="E633" s="31"/>
      <c r="F633" s="31"/>
      <c r="G633" s="31"/>
      <c r="H633" s="31"/>
      <c r="I633" s="31"/>
      <c r="J633" s="31">
        <v>18.87</v>
      </c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13">
        <f t="shared" si="31"/>
        <v>18.87</v>
      </c>
      <c r="AA633" s="38"/>
      <c r="AB633" s="22">
        <f t="shared" si="32"/>
        <v>7.0148516342150784E-4</v>
      </c>
    </row>
    <row r="634" spans="2:28" x14ac:dyDescent="0.25">
      <c r="B634" s="41"/>
      <c r="C634" s="88" t="s">
        <v>516</v>
      </c>
      <c r="D634" s="30" t="s">
        <v>743</v>
      </c>
      <c r="E634" s="31"/>
      <c r="F634" s="31"/>
      <c r="G634" s="31"/>
      <c r="H634" s="31"/>
      <c r="I634" s="31"/>
      <c r="J634" s="31">
        <v>18.899999999999999</v>
      </c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13">
        <f t="shared" si="31"/>
        <v>18.899999999999999</v>
      </c>
      <c r="AA634" s="38"/>
      <c r="AB634" s="22">
        <f t="shared" si="32"/>
        <v>7.0260040215508728E-4</v>
      </c>
    </row>
    <row r="635" spans="2:28" x14ac:dyDescent="0.25">
      <c r="B635" s="41"/>
      <c r="C635" s="88" t="s">
        <v>517</v>
      </c>
      <c r="D635" s="30" t="s">
        <v>743</v>
      </c>
      <c r="E635" s="31"/>
      <c r="F635" s="31"/>
      <c r="G635" s="31"/>
      <c r="H635" s="31"/>
      <c r="I635" s="31"/>
      <c r="J635" s="31">
        <v>20.47</v>
      </c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13">
        <f t="shared" si="31"/>
        <v>20.47</v>
      </c>
      <c r="AA635" s="38"/>
      <c r="AB635" s="22">
        <f t="shared" si="32"/>
        <v>7.6096456254574798E-4</v>
      </c>
    </row>
    <row r="636" spans="2:28" x14ac:dyDescent="0.25">
      <c r="B636" s="41"/>
      <c r="C636" s="88" t="s">
        <v>518</v>
      </c>
      <c r="D636" s="30" t="s">
        <v>37</v>
      </c>
      <c r="E636" s="31"/>
      <c r="F636" s="31"/>
      <c r="G636" s="31"/>
      <c r="H636" s="31"/>
      <c r="I636" s="31"/>
      <c r="J636" s="31">
        <v>5.13</v>
      </c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13">
        <f t="shared" si="31"/>
        <v>5.13</v>
      </c>
      <c r="AA636" s="38"/>
      <c r="AB636" s="22">
        <f t="shared" si="32"/>
        <v>1.9070582344209513E-4</v>
      </c>
    </row>
    <row r="637" spans="2:28" x14ac:dyDescent="0.25">
      <c r="B637" s="41"/>
      <c r="C637" s="88" t="s">
        <v>519</v>
      </c>
      <c r="D637" s="30" t="s">
        <v>37</v>
      </c>
      <c r="E637" s="31"/>
      <c r="F637" s="31"/>
      <c r="G637" s="31"/>
      <c r="H637" s="31"/>
      <c r="I637" s="31"/>
      <c r="J637" s="31">
        <v>5.13</v>
      </c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13">
        <f t="shared" si="31"/>
        <v>5.13</v>
      </c>
      <c r="AA637" s="38"/>
      <c r="AB637" s="22">
        <f t="shared" si="32"/>
        <v>1.9070582344209513E-4</v>
      </c>
    </row>
    <row r="638" spans="2:28" x14ac:dyDescent="0.25">
      <c r="B638" s="41"/>
      <c r="C638" s="88" t="s">
        <v>520</v>
      </c>
      <c r="D638" s="30" t="s">
        <v>37</v>
      </c>
      <c r="E638" s="31"/>
      <c r="F638" s="31"/>
      <c r="G638" s="31"/>
      <c r="H638" s="31"/>
      <c r="I638" s="31"/>
      <c r="J638" s="31">
        <v>5.54</v>
      </c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13">
        <f t="shared" si="31"/>
        <v>5.54</v>
      </c>
      <c r="AA638" s="38"/>
      <c r="AB638" s="22">
        <f t="shared" si="32"/>
        <v>2.059474194676817E-4</v>
      </c>
    </row>
    <row r="639" spans="2:28" x14ac:dyDescent="0.25">
      <c r="B639" s="41"/>
      <c r="C639" s="88" t="s">
        <v>521</v>
      </c>
      <c r="D639" s="30" t="s">
        <v>743</v>
      </c>
      <c r="E639" s="31"/>
      <c r="F639" s="31"/>
      <c r="G639" s="31"/>
      <c r="H639" s="31"/>
      <c r="I639" s="31"/>
      <c r="J639" s="31">
        <v>18.72</v>
      </c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13">
        <f t="shared" si="31"/>
        <v>18.72</v>
      </c>
      <c r="AA639" s="38"/>
      <c r="AB639" s="22">
        <f t="shared" si="32"/>
        <v>6.9590896975361028E-4</v>
      </c>
    </row>
    <row r="640" spans="2:28" x14ac:dyDescent="0.25">
      <c r="B640" s="41"/>
      <c r="C640" s="88" t="s">
        <v>522</v>
      </c>
      <c r="D640" s="30" t="s">
        <v>743</v>
      </c>
      <c r="E640" s="31"/>
      <c r="F640" s="31"/>
      <c r="G640" s="31"/>
      <c r="H640" s="31"/>
      <c r="I640" s="31"/>
      <c r="J640" s="31">
        <v>18.87</v>
      </c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13">
        <f t="shared" si="31"/>
        <v>18.87</v>
      </c>
      <c r="AA640" s="38"/>
      <c r="AB640" s="22">
        <f t="shared" si="32"/>
        <v>7.0148516342150784E-4</v>
      </c>
    </row>
    <row r="641" spans="2:28" x14ac:dyDescent="0.25">
      <c r="B641" s="41"/>
      <c r="C641" s="88" t="s">
        <v>523</v>
      </c>
      <c r="D641" s="30" t="s">
        <v>743</v>
      </c>
      <c r="E641" s="31"/>
      <c r="F641" s="31"/>
      <c r="G641" s="31"/>
      <c r="H641" s="31"/>
      <c r="I641" s="31"/>
      <c r="J641" s="31">
        <v>18.87</v>
      </c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13">
        <f t="shared" si="31"/>
        <v>18.87</v>
      </c>
      <c r="AA641" s="38"/>
      <c r="AB641" s="22">
        <f t="shared" si="32"/>
        <v>7.0148516342150784E-4</v>
      </c>
    </row>
    <row r="642" spans="2:28" x14ac:dyDescent="0.25">
      <c r="B642" s="41"/>
      <c r="C642" s="88" t="s">
        <v>524</v>
      </c>
      <c r="D642" s="30" t="s">
        <v>743</v>
      </c>
      <c r="E642" s="31"/>
      <c r="F642" s="31"/>
      <c r="G642" s="31"/>
      <c r="H642" s="31"/>
      <c r="I642" s="31"/>
      <c r="J642" s="31">
        <v>18.899999999999999</v>
      </c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13">
        <f t="shared" si="31"/>
        <v>18.899999999999999</v>
      </c>
      <c r="AA642" s="38"/>
      <c r="AB642" s="22">
        <f t="shared" si="32"/>
        <v>7.0260040215508728E-4</v>
      </c>
    </row>
    <row r="643" spans="2:28" x14ac:dyDescent="0.25">
      <c r="B643" s="41"/>
      <c r="C643" s="88" t="s">
        <v>525</v>
      </c>
      <c r="D643" s="30" t="s">
        <v>743</v>
      </c>
      <c r="E643" s="31"/>
      <c r="F643" s="31"/>
      <c r="G643" s="31"/>
      <c r="H643" s="31"/>
      <c r="I643" s="31"/>
      <c r="J643" s="31">
        <v>19.04</v>
      </c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13">
        <f t="shared" si="31"/>
        <v>19.04</v>
      </c>
      <c r="AA643" s="38"/>
      <c r="AB643" s="22">
        <f t="shared" si="32"/>
        <v>7.0780484957845829E-4</v>
      </c>
    </row>
    <row r="644" spans="2:28" x14ac:dyDescent="0.25">
      <c r="B644" s="41"/>
      <c r="C644" s="88" t="s">
        <v>526</v>
      </c>
      <c r="D644" s="30" t="s">
        <v>743</v>
      </c>
      <c r="E644" s="31"/>
      <c r="F644" s="31"/>
      <c r="G644" s="31"/>
      <c r="H644" s="31"/>
      <c r="I644" s="31"/>
      <c r="J644" s="31"/>
      <c r="K644" s="31">
        <v>18.829999999999998</v>
      </c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13">
        <f t="shared" si="31"/>
        <v>18.829999999999998</v>
      </c>
      <c r="AA644" s="38"/>
      <c r="AB644" s="22">
        <f t="shared" si="32"/>
        <v>6.9999817844340173E-4</v>
      </c>
    </row>
    <row r="645" spans="2:28" x14ac:dyDescent="0.25">
      <c r="B645" s="41"/>
      <c r="C645" s="88" t="s">
        <v>527</v>
      </c>
      <c r="D645" s="30" t="s">
        <v>743</v>
      </c>
      <c r="E645" s="31"/>
      <c r="F645" s="31"/>
      <c r="G645" s="31"/>
      <c r="H645" s="31"/>
      <c r="I645" s="31"/>
      <c r="J645" s="31"/>
      <c r="K645" s="31">
        <v>18.63</v>
      </c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13">
        <f t="shared" si="31"/>
        <v>18.63</v>
      </c>
      <c r="AA645" s="38"/>
      <c r="AB645" s="22">
        <f t="shared" si="32"/>
        <v>6.9256325355287172E-4</v>
      </c>
    </row>
    <row r="646" spans="2:28" x14ac:dyDescent="0.25">
      <c r="B646" s="41"/>
      <c r="C646" s="88" t="s">
        <v>528</v>
      </c>
      <c r="D646" s="28" t="s">
        <v>743</v>
      </c>
      <c r="E646" s="31"/>
      <c r="F646" s="31"/>
      <c r="G646" s="31"/>
      <c r="H646" s="31"/>
      <c r="I646" s="31"/>
      <c r="J646" s="31"/>
      <c r="K646" s="31">
        <v>18.61</v>
      </c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13">
        <f t="shared" si="31"/>
        <v>18.61</v>
      </c>
      <c r="AA646" s="38"/>
      <c r="AB646" s="22">
        <f t="shared" si="32"/>
        <v>6.9181976106381883E-4</v>
      </c>
    </row>
    <row r="647" spans="2:28" x14ac:dyDescent="0.25">
      <c r="B647" s="41"/>
      <c r="C647" s="88" t="s">
        <v>529</v>
      </c>
      <c r="D647" s="28" t="s">
        <v>743</v>
      </c>
      <c r="E647" s="31"/>
      <c r="F647" s="31"/>
      <c r="G647" s="31"/>
      <c r="H647" s="31"/>
      <c r="I647" s="31"/>
      <c r="J647" s="31"/>
      <c r="K647" s="31">
        <v>18.62</v>
      </c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13">
        <f t="shared" si="31"/>
        <v>18.62</v>
      </c>
      <c r="AA647" s="38"/>
      <c r="AB647" s="22">
        <f t="shared" si="32"/>
        <v>6.9219150730834538E-4</v>
      </c>
    </row>
    <row r="648" spans="2:28" x14ac:dyDescent="0.25">
      <c r="B648" s="41"/>
      <c r="C648" s="88" t="s">
        <v>530</v>
      </c>
      <c r="D648" s="28" t="s">
        <v>743</v>
      </c>
      <c r="E648" s="31"/>
      <c r="F648" s="31"/>
      <c r="G648" s="31"/>
      <c r="H648" s="31"/>
      <c r="I648" s="31"/>
      <c r="J648" s="31"/>
      <c r="K648" s="31">
        <v>18.63</v>
      </c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13">
        <f t="shared" si="31"/>
        <v>18.63</v>
      </c>
      <c r="AA648" s="38"/>
      <c r="AB648" s="22">
        <f t="shared" si="32"/>
        <v>6.9256325355287172E-4</v>
      </c>
    </row>
    <row r="649" spans="2:28" x14ac:dyDescent="0.25">
      <c r="B649" s="41"/>
      <c r="C649" s="88" t="s">
        <v>531</v>
      </c>
      <c r="D649" s="28" t="s">
        <v>743</v>
      </c>
      <c r="E649" s="31"/>
      <c r="F649" s="31"/>
      <c r="G649" s="31"/>
      <c r="H649" s="31"/>
      <c r="I649" s="31"/>
      <c r="J649" s="31"/>
      <c r="K649" s="31">
        <v>18.61</v>
      </c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13">
        <f t="shared" si="31"/>
        <v>18.61</v>
      </c>
      <c r="AA649" s="38"/>
      <c r="AB649" s="22">
        <f t="shared" si="32"/>
        <v>6.9181976106381883E-4</v>
      </c>
    </row>
    <row r="650" spans="2:28" x14ac:dyDescent="0.25">
      <c r="B650" s="41"/>
      <c r="C650" s="88" t="s">
        <v>532</v>
      </c>
      <c r="D650" s="28" t="s">
        <v>743</v>
      </c>
      <c r="E650" s="31"/>
      <c r="F650" s="31"/>
      <c r="G650" s="31"/>
      <c r="H650" s="31"/>
      <c r="I650" s="31"/>
      <c r="J650" s="31"/>
      <c r="K650" s="31">
        <v>18.62</v>
      </c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13">
        <f t="shared" si="31"/>
        <v>18.62</v>
      </c>
      <c r="AA650" s="38"/>
      <c r="AB650" s="22">
        <f t="shared" si="32"/>
        <v>6.9219150730834538E-4</v>
      </c>
    </row>
    <row r="651" spans="2:28" x14ac:dyDescent="0.25">
      <c r="B651" s="41"/>
      <c r="C651" s="88" t="s">
        <v>533</v>
      </c>
      <c r="D651" s="30" t="s">
        <v>743</v>
      </c>
      <c r="E651" s="31"/>
      <c r="F651" s="31"/>
      <c r="G651" s="31"/>
      <c r="H651" s="31"/>
      <c r="I651" s="31"/>
      <c r="J651" s="31"/>
      <c r="K651" s="31">
        <v>18.63</v>
      </c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13">
        <f t="shared" si="31"/>
        <v>18.63</v>
      </c>
      <c r="AA651" s="38"/>
      <c r="AB651" s="22">
        <f t="shared" si="32"/>
        <v>6.9256325355287172E-4</v>
      </c>
    </row>
    <row r="652" spans="2:28" x14ac:dyDescent="0.25">
      <c r="B652" s="41"/>
      <c r="C652" s="88" t="s">
        <v>534</v>
      </c>
      <c r="D652" s="30" t="s">
        <v>743</v>
      </c>
      <c r="E652" s="31"/>
      <c r="F652" s="31"/>
      <c r="G652" s="31"/>
      <c r="H652" s="31"/>
      <c r="I652" s="31"/>
      <c r="J652" s="31"/>
      <c r="K652" s="31">
        <v>18.61</v>
      </c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13">
        <f t="shared" si="31"/>
        <v>18.61</v>
      </c>
      <c r="AA652" s="38"/>
      <c r="AB652" s="22">
        <f t="shared" si="32"/>
        <v>6.9181976106381883E-4</v>
      </c>
    </row>
    <row r="653" spans="2:28" x14ac:dyDescent="0.25">
      <c r="B653" s="41"/>
      <c r="C653" s="88" t="s">
        <v>535</v>
      </c>
      <c r="D653" s="30" t="s">
        <v>743</v>
      </c>
      <c r="E653" s="31"/>
      <c r="F653" s="31"/>
      <c r="G653" s="31"/>
      <c r="H653" s="31"/>
      <c r="I653" s="31"/>
      <c r="J653" s="31"/>
      <c r="K653" s="31">
        <v>17.93</v>
      </c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13">
        <f t="shared" si="31"/>
        <v>17.93</v>
      </c>
      <c r="AA653" s="38"/>
      <c r="AB653" s="22">
        <f t="shared" si="32"/>
        <v>6.6654101643601671E-4</v>
      </c>
    </row>
    <row r="654" spans="2:28" x14ac:dyDescent="0.25">
      <c r="B654" s="41"/>
      <c r="C654" s="88" t="s">
        <v>536</v>
      </c>
      <c r="D654" s="28" t="s">
        <v>743</v>
      </c>
      <c r="E654" s="31"/>
      <c r="F654" s="31"/>
      <c r="G654" s="31"/>
      <c r="H654" s="31"/>
      <c r="I654" s="31"/>
      <c r="J654" s="31"/>
      <c r="K654" s="31">
        <v>17.940000000000001</v>
      </c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13">
        <f t="shared" si="31"/>
        <v>17.940000000000001</v>
      </c>
      <c r="AA654" s="38"/>
      <c r="AB654" s="22">
        <f t="shared" si="32"/>
        <v>6.6691276268054326E-4</v>
      </c>
    </row>
    <row r="655" spans="2:28" x14ac:dyDescent="0.25">
      <c r="B655" s="41"/>
      <c r="C655" s="88" t="s">
        <v>537</v>
      </c>
      <c r="D655" s="28" t="s">
        <v>743</v>
      </c>
      <c r="E655" s="31"/>
      <c r="F655" s="31"/>
      <c r="G655" s="31"/>
      <c r="H655" s="31"/>
      <c r="I655" s="31"/>
      <c r="J655" s="31"/>
      <c r="K655" s="31">
        <v>19.66</v>
      </c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13">
        <f t="shared" si="31"/>
        <v>19.66</v>
      </c>
      <c r="AA655" s="38"/>
      <c r="AB655" s="22">
        <f t="shared" si="32"/>
        <v>7.3085311673910141E-4</v>
      </c>
    </row>
    <row r="656" spans="2:28" x14ac:dyDescent="0.25">
      <c r="B656" s="41"/>
      <c r="C656" s="88" t="s">
        <v>538</v>
      </c>
      <c r="D656" s="28" t="s">
        <v>37</v>
      </c>
      <c r="E656" s="31"/>
      <c r="F656" s="31"/>
      <c r="G656" s="31"/>
      <c r="H656" s="31"/>
      <c r="I656" s="31"/>
      <c r="J656" s="31"/>
      <c r="K656" s="31">
        <v>6.06</v>
      </c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13">
        <f t="shared" si="31"/>
        <v>6.06</v>
      </c>
      <c r="AA656" s="38"/>
      <c r="AB656" s="22">
        <f t="shared" si="32"/>
        <v>2.2527822418305974E-4</v>
      </c>
    </row>
    <row r="657" spans="2:28" x14ac:dyDescent="0.25">
      <c r="B657" s="41"/>
      <c r="C657" s="88" t="s">
        <v>539</v>
      </c>
      <c r="D657" s="28" t="s">
        <v>37</v>
      </c>
      <c r="E657" s="31"/>
      <c r="F657" s="31"/>
      <c r="G657" s="31"/>
      <c r="H657" s="31"/>
      <c r="I657" s="31"/>
      <c r="J657" s="31"/>
      <c r="K657" s="31">
        <v>5.05</v>
      </c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13">
        <f t="shared" si="31"/>
        <v>5.05</v>
      </c>
      <c r="AA657" s="38"/>
      <c r="AB657" s="22">
        <f t="shared" si="32"/>
        <v>1.8773185348588311E-4</v>
      </c>
    </row>
    <row r="658" spans="2:28" x14ac:dyDescent="0.25">
      <c r="B658" s="41"/>
      <c r="C658" s="88" t="s">
        <v>540</v>
      </c>
      <c r="D658" s="28" t="s">
        <v>37</v>
      </c>
      <c r="E658" s="31"/>
      <c r="F658" s="31"/>
      <c r="G658" s="31"/>
      <c r="H658" s="31"/>
      <c r="I658" s="31"/>
      <c r="J658" s="31"/>
      <c r="K658" s="31">
        <v>3.88</v>
      </c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13">
        <f t="shared" si="31"/>
        <v>3.88</v>
      </c>
      <c r="AA658" s="38"/>
      <c r="AB658" s="22">
        <f t="shared" si="32"/>
        <v>1.4423754287628247E-4</v>
      </c>
    </row>
    <row r="659" spans="2:28" x14ac:dyDescent="0.25">
      <c r="B659" s="41"/>
      <c r="C659" s="88" t="s">
        <v>541</v>
      </c>
      <c r="D659" s="28" t="s">
        <v>37</v>
      </c>
      <c r="E659" s="31"/>
      <c r="F659" s="31"/>
      <c r="G659" s="31"/>
      <c r="H659" s="31"/>
      <c r="I659" s="31"/>
      <c r="J659" s="31"/>
      <c r="K659" s="31">
        <v>3.98</v>
      </c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13">
        <f t="shared" si="31"/>
        <v>3.98</v>
      </c>
      <c r="AA659" s="38"/>
      <c r="AB659" s="22">
        <f t="shared" si="32"/>
        <v>1.479550053215475E-4</v>
      </c>
    </row>
    <row r="660" spans="2:28" x14ac:dyDescent="0.25">
      <c r="B660" s="41"/>
      <c r="C660" s="88" t="s">
        <v>542</v>
      </c>
      <c r="D660" s="28" t="s">
        <v>743</v>
      </c>
      <c r="E660" s="31"/>
      <c r="F660" s="31"/>
      <c r="G660" s="31"/>
      <c r="H660" s="31"/>
      <c r="I660" s="31"/>
      <c r="J660" s="31"/>
      <c r="K660" s="31">
        <v>23.35</v>
      </c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13">
        <f t="shared" si="31"/>
        <v>23.35</v>
      </c>
      <c r="AA660" s="38"/>
      <c r="AB660" s="22">
        <f t="shared" si="32"/>
        <v>8.6802748096938048E-4</v>
      </c>
    </row>
    <row r="661" spans="2:28" x14ac:dyDescent="0.25">
      <c r="B661" s="41"/>
      <c r="C661" s="88" t="s">
        <v>543</v>
      </c>
      <c r="D661" s="28" t="s">
        <v>742</v>
      </c>
      <c r="E661" s="31"/>
      <c r="F661" s="31"/>
      <c r="G661" s="31"/>
      <c r="H661" s="31"/>
      <c r="I661" s="31"/>
      <c r="J661" s="31"/>
      <c r="K661" s="31">
        <v>16.8</v>
      </c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13">
        <f t="shared" si="31"/>
        <v>16.8</v>
      </c>
      <c r="AA661" s="38"/>
      <c r="AB661" s="22">
        <f t="shared" si="32"/>
        <v>6.2453369080452212E-4</v>
      </c>
    </row>
    <row r="662" spans="2:28" x14ac:dyDescent="0.25">
      <c r="B662" s="41"/>
      <c r="C662" s="88" t="s">
        <v>544</v>
      </c>
      <c r="D662" s="28" t="s">
        <v>742</v>
      </c>
      <c r="E662" s="31"/>
      <c r="F662" s="31"/>
      <c r="G662" s="31"/>
      <c r="H662" s="31"/>
      <c r="I662" s="31"/>
      <c r="J662" s="31"/>
      <c r="K662" s="31">
        <v>16.2</v>
      </c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13">
        <f t="shared" si="31"/>
        <v>16.2</v>
      </c>
      <c r="AA662" s="38"/>
      <c r="AB662" s="22">
        <f t="shared" si="32"/>
        <v>6.02228916132932E-4</v>
      </c>
    </row>
    <row r="663" spans="2:28" x14ac:dyDescent="0.25">
      <c r="B663" s="41"/>
      <c r="C663" s="88" t="s">
        <v>545</v>
      </c>
      <c r="D663" s="28" t="s">
        <v>742</v>
      </c>
      <c r="E663" s="31"/>
      <c r="F663" s="31"/>
      <c r="G663" s="31"/>
      <c r="H663" s="31"/>
      <c r="I663" s="31"/>
      <c r="J663" s="31"/>
      <c r="K663" s="31">
        <v>16.02</v>
      </c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13">
        <f t="shared" si="31"/>
        <v>16.02</v>
      </c>
      <c r="AA663" s="38"/>
      <c r="AB663" s="22">
        <f t="shared" si="32"/>
        <v>5.95537483731455E-4</v>
      </c>
    </row>
    <row r="664" spans="2:28" x14ac:dyDescent="0.25">
      <c r="B664" s="41"/>
      <c r="C664" s="88" t="s">
        <v>546</v>
      </c>
      <c r="D664" s="28" t="s">
        <v>742</v>
      </c>
      <c r="E664" s="31"/>
      <c r="F664" s="31"/>
      <c r="G664" s="31"/>
      <c r="H664" s="31"/>
      <c r="I664" s="31"/>
      <c r="J664" s="31"/>
      <c r="K664" s="31">
        <v>16.02</v>
      </c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13">
        <f t="shared" si="31"/>
        <v>16.02</v>
      </c>
      <c r="AA664" s="38"/>
      <c r="AB664" s="22">
        <f t="shared" si="32"/>
        <v>5.95537483731455E-4</v>
      </c>
    </row>
    <row r="665" spans="2:28" x14ac:dyDescent="0.25">
      <c r="B665" s="41"/>
      <c r="C665" s="88" t="s">
        <v>547</v>
      </c>
      <c r="D665" s="28" t="s">
        <v>742</v>
      </c>
      <c r="E665" s="31"/>
      <c r="F665" s="31"/>
      <c r="G665" s="31"/>
      <c r="H665" s="31"/>
      <c r="I665" s="31"/>
      <c r="J665" s="31"/>
      <c r="K665" s="31">
        <v>16.2</v>
      </c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13">
        <f t="shared" si="31"/>
        <v>16.2</v>
      </c>
      <c r="AA665" s="38"/>
      <c r="AB665" s="22">
        <f t="shared" si="32"/>
        <v>6.02228916132932E-4</v>
      </c>
    </row>
    <row r="666" spans="2:28" x14ac:dyDescent="0.25">
      <c r="B666" s="41"/>
      <c r="C666" s="88" t="s">
        <v>548</v>
      </c>
      <c r="D666" s="28" t="s">
        <v>742</v>
      </c>
      <c r="E666" s="31"/>
      <c r="F666" s="31"/>
      <c r="G666" s="31"/>
      <c r="H666" s="31"/>
      <c r="I666" s="31"/>
      <c r="J666" s="31"/>
      <c r="K666" s="31">
        <v>16.02</v>
      </c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13">
        <f t="shared" si="31"/>
        <v>16.02</v>
      </c>
      <c r="AA666" s="38"/>
      <c r="AB666" s="22">
        <f t="shared" si="32"/>
        <v>5.95537483731455E-4</v>
      </c>
    </row>
    <row r="667" spans="2:28" x14ac:dyDescent="0.25">
      <c r="B667" s="41"/>
      <c r="C667" s="88" t="s">
        <v>549</v>
      </c>
      <c r="D667" s="28" t="s">
        <v>742</v>
      </c>
      <c r="E667" s="31"/>
      <c r="F667" s="31"/>
      <c r="G667" s="31"/>
      <c r="H667" s="31"/>
      <c r="I667" s="31"/>
      <c r="J667" s="31"/>
      <c r="K667" s="31">
        <v>18.23</v>
      </c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13">
        <f t="shared" si="31"/>
        <v>18.23</v>
      </c>
      <c r="AA667" s="38"/>
      <c r="AB667" s="22">
        <f t="shared" si="32"/>
        <v>6.7769340377181182E-4</v>
      </c>
    </row>
    <row r="668" spans="2:28" x14ac:dyDescent="0.25">
      <c r="B668" s="41"/>
      <c r="C668" s="88" t="s">
        <v>550</v>
      </c>
      <c r="D668" s="28" t="s">
        <v>743</v>
      </c>
      <c r="E668" s="31"/>
      <c r="F668" s="31"/>
      <c r="G668" s="31"/>
      <c r="H668" s="31"/>
      <c r="I668" s="31"/>
      <c r="J668" s="31"/>
      <c r="K668" s="31">
        <v>18.899999999999999</v>
      </c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13">
        <f t="shared" si="31"/>
        <v>18.899999999999999</v>
      </c>
      <c r="AA668" s="38"/>
      <c r="AB668" s="22">
        <f t="shared" si="32"/>
        <v>7.0260040215508728E-4</v>
      </c>
    </row>
    <row r="669" spans="2:28" x14ac:dyDescent="0.25">
      <c r="B669" s="41"/>
      <c r="C669" s="88" t="s">
        <v>551</v>
      </c>
      <c r="D669" s="28" t="s">
        <v>743</v>
      </c>
      <c r="E669" s="31"/>
      <c r="F669" s="31"/>
      <c r="G669" s="31"/>
      <c r="H669" s="31"/>
      <c r="I669" s="31"/>
      <c r="J669" s="31"/>
      <c r="K669" s="31">
        <v>18.87</v>
      </c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13">
        <f t="shared" si="31"/>
        <v>18.87</v>
      </c>
      <c r="AA669" s="38"/>
      <c r="AB669" s="22">
        <f t="shared" si="32"/>
        <v>7.0148516342150784E-4</v>
      </c>
    </row>
    <row r="670" spans="2:28" x14ac:dyDescent="0.25">
      <c r="B670" s="41"/>
      <c r="C670" s="88" t="s">
        <v>552</v>
      </c>
      <c r="D670" s="28" t="s">
        <v>743</v>
      </c>
      <c r="E670" s="31"/>
      <c r="F670" s="31"/>
      <c r="G670" s="31"/>
      <c r="H670" s="31"/>
      <c r="I670" s="31"/>
      <c r="J670" s="31"/>
      <c r="K670" s="31">
        <v>18.87</v>
      </c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13">
        <f t="shared" si="31"/>
        <v>18.87</v>
      </c>
      <c r="AA670" s="38"/>
      <c r="AB670" s="22">
        <f t="shared" si="32"/>
        <v>7.0148516342150784E-4</v>
      </c>
    </row>
    <row r="671" spans="2:28" x14ac:dyDescent="0.25">
      <c r="B671" s="41"/>
      <c r="C671" s="88" t="s">
        <v>553</v>
      </c>
      <c r="D671" s="28" t="s">
        <v>743</v>
      </c>
      <c r="E671" s="31"/>
      <c r="F671" s="31"/>
      <c r="G671" s="31"/>
      <c r="H671" s="31"/>
      <c r="I671" s="31"/>
      <c r="J671" s="31"/>
      <c r="K671" s="31">
        <v>18.899999999999999</v>
      </c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13">
        <f t="shared" si="31"/>
        <v>18.899999999999999</v>
      </c>
      <c r="AA671" s="38"/>
      <c r="AB671" s="22">
        <f t="shared" si="32"/>
        <v>7.0260040215508728E-4</v>
      </c>
    </row>
    <row r="672" spans="2:28" x14ac:dyDescent="0.25">
      <c r="B672" s="41"/>
      <c r="C672" s="88" t="s">
        <v>554</v>
      </c>
      <c r="D672" s="30" t="s">
        <v>743</v>
      </c>
      <c r="E672" s="31"/>
      <c r="F672" s="31"/>
      <c r="G672" s="31"/>
      <c r="H672" s="31"/>
      <c r="I672" s="31"/>
      <c r="J672" s="31"/>
      <c r="K672" s="31">
        <v>20.47</v>
      </c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13">
        <f t="shared" si="31"/>
        <v>20.47</v>
      </c>
      <c r="AA672" s="38"/>
      <c r="AB672" s="22">
        <f t="shared" si="32"/>
        <v>7.6096456254574798E-4</v>
      </c>
    </row>
    <row r="673" spans="2:28" x14ac:dyDescent="0.25">
      <c r="B673" s="41"/>
      <c r="C673" s="88" t="s">
        <v>555</v>
      </c>
      <c r="D673" s="30" t="s">
        <v>37</v>
      </c>
      <c r="E673" s="31"/>
      <c r="F673" s="31"/>
      <c r="G673" s="31"/>
      <c r="H673" s="31"/>
      <c r="I673" s="31"/>
      <c r="J673" s="31"/>
      <c r="K673" s="31">
        <v>5.13</v>
      </c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13">
        <f t="shared" si="31"/>
        <v>5.13</v>
      </c>
      <c r="AA673" s="38"/>
      <c r="AB673" s="22">
        <f t="shared" si="32"/>
        <v>1.9070582344209513E-4</v>
      </c>
    </row>
    <row r="674" spans="2:28" x14ac:dyDescent="0.25">
      <c r="B674" s="41"/>
      <c r="C674" s="88" t="s">
        <v>556</v>
      </c>
      <c r="D674" s="30" t="s">
        <v>37</v>
      </c>
      <c r="E674" s="31"/>
      <c r="F674" s="31"/>
      <c r="G674" s="31"/>
      <c r="H674" s="31"/>
      <c r="I674" s="31"/>
      <c r="J674" s="31"/>
      <c r="K674" s="31">
        <v>5.13</v>
      </c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13">
        <f t="shared" si="31"/>
        <v>5.13</v>
      </c>
      <c r="AA674" s="38"/>
      <c r="AB674" s="22">
        <f t="shared" si="32"/>
        <v>1.9070582344209513E-4</v>
      </c>
    </row>
    <row r="675" spans="2:28" x14ac:dyDescent="0.25">
      <c r="B675" s="41"/>
      <c r="C675" s="88" t="s">
        <v>557</v>
      </c>
      <c r="D675" s="30" t="s">
        <v>37</v>
      </c>
      <c r="E675" s="31"/>
      <c r="F675" s="31"/>
      <c r="G675" s="31"/>
      <c r="H675" s="31"/>
      <c r="I675" s="31"/>
      <c r="J675" s="31"/>
      <c r="K675" s="31">
        <v>5.54</v>
      </c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13">
        <f t="shared" si="31"/>
        <v>5.54</v>
      </c>
      <c r="AA675" s="38"/>
      <c r="AB675" s="22">
        <f t="shared" si="32"/>
        <v>2.059474194676817E-4</v>
      </c>
    </row>
    <row r="676" spans="2:28" x14ac:dyDescent="0.25">
      <c r="B676" s="41"/>
      <c r="C676" s="88" t="s">
        <v>558</v>
      </c>
      <c r="D676" s="30" t="s">
        <v>743</v>
      </c>
      <c r="E676" s="31"/>
      <c r="F676" s="31"/>
      <c r="G676" s="31"/>
      <c r="H676" s="31"/>
      <c r="I676" s="31"/>
      <c r="J676" s="31"/>
      <c r="K676" s="31">
        <v>18.72</v>
      </c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13">
        <f t="shared" si="31"/>
        <v>18.72</v>
      </c>
      <c r="AA676" s="38"/>
      <c r="AB676" s="22">
        <f t="shared" si="32"/>
        <v>6.9590896975361028E-4</v>
      </c>
    </row>
    <row r="677" spans="2:28" x14ac:dyDescent="0.25">
      <c r="B677" s="41"/>
      <c r="C677" s="88" t="s">
        <v>559</v>
      </c>
      <c r="D677" s="28" t="s">
        <v>743</v>
      </c>
      <c r="E677" s="31"/>
      <c r="F677" s="31"/>
      <c r="G677" s="31"/>
      <c r="H677" s="31"/>
      <c r="I677" s="31"/>
      <c r="J677" s="31"/>
      <c r="K677" s="31">
        <v>18.87</v>
      </c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13">
        <f t="shared" si="31"/>
        <v>18.87</v>
      </c>
      <c r="AA677" s="38"/>
      <c r="AB677" s="22">
        <f t="shared" si="32"/>
        <v>7.0148516342150784E-4</v>
      </c>
    </row>
    <row r="678" spans="2:28" x14ac:dyDescent="0.25">
      <c r="B678" s="41"/>
      <c r="C678" s="88" t="s">
        <v>560</v>
      </c>
      <c r="D678" s="30" t="s">
        <v>743</v>
      </c>
      <c r="E678" s="31"/>
      <c r="F678" s="31"/>
      <c r="G678" s="31"/>
      <c r="H678" s="31"/>
      <c r="I678" s="31"/>
      <c r="J678" s="31"/>
      <c r="K678" s="31">
        <v>18.87</v>
      </c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13">
        <f t="shared" si="31"/>
        <v>18.87</v>
      </c>
      <c r="AA678" s="38"/>
      <c r="AB678" s="22">
        <f t="shared" si="32"/>
        <v>7.0148516342150784E-4</v>
      </c>
    </row>
    <row r="679" spans="2:28" x14ac:dyDescent="0.25">
      <c r="B679" s="41"/>
      <c r="C679" s="88" t="s">
        <v>561</v>
      </c>
      <c r="D679" s="30" t="s">
        <v>743</v>
      </c>
      <c r="E679" s="31"/>
      <c r="F679" s="31"/>
      <c r="G679" s="31"/>
      <c r="H679" s="31"/>
      <c r="I679" s="31"/>
      <c r="J679" s="31"/>
      <c r="K679" s="31">
        <v>18.899999999999999</v>
      </c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13">
        <f t="shared" si="31"/>
        <v>18.899999999999999</v>
      </c>
      <c r="AA679" s="38"/>
      <c r="AB679" s="22">
        <f t="shared" si="32"/>
        <v>7.0260040215508728E-4</v>
      </c>
    </row>
    <row r="680" spans="2:28" x14ac:dyDescent="0.25">
      <c r="B680" s="41"/>
      <c r="C680" s="88" t="s">
        <v>562</v>
      </c>
      <c r="D680" s="30" t="s">
        <v>743</v>
      </c>
      <c r="E680" s="31"/>
      <c r="F680" s="31"/>
      <c r="G680" s="31"/>
      <c r="H680" s="31"/>
      <c r="I680" s="31"/>
      <c r="J680" s="31"/>
      <c r="K680" s="31">
        <v>19.04</v>
      </c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13">
        <f t="shared" si="31"/>
        <v>19.04</v>
      </c>
      <c r="AA680" s="38"/>
      <c r="AB680" s="22">
        <f t="shared" si="32"/>
        <v>7.0780484957845829E-4</v>
      </c>
    </row>
    <row r="681" spans="2:28" x14ac:dyDescent="0.25">
      <c r="B681" s="41"/>
      <c r="C681" s="88" t="s">
        <v>563</v>
      </c>
      <c r="D681" s="30" t="s">
        <v>453</v>
      </c>
      <c r="E681" s="31"/>
      <c r="F681" s="31"/>
      <c r="G681" s="31"/>
      <c r="H681" s="31"/>
      <c r="I681" s="31"/>
      <c r="J681" s="31"/>
      <c r="K681" s="31"/>
      <c r="L681" s="31">
        <v>79.73</v>
      </c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13">
        <f t="shared" si="31"/>
        <v>79.73</v>
      </c>
      <c r="AA681" s="38"/>
      <c r="AB681" s="22">
        <f t="shared" si="32"/>
        <v>2.9639328076097944E-3</v>
      </c>
    </row>
    <row r="682" spans="2:28" x14ac:dyDescent="0.25">
      <c r="B682" s="41"/>
      <c r="C682" s="88" t="s">
        <v>564</v>
      </c>
      <c r="D682" s="30" t="s">
        <v>453</v>
      </c>
      <c r="E682" s="31"/>
      <c r="F682" s="31"/>
      <c r="G682" s="31"/>
      <c r="H682" s="31"/>
      <c r="I682" s="31"/>
      <c r="J682" s="31"/>
      <c r="K682" s="31"/>
      <c r="L682" s="31">
        <v>79.989999999999995</v>
      </c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13">
        <f t="shared" si="31"/>
        <v>79.989999999999995</v>
      </c>
      <c r="AA682" s="38"/>
      <c r="AB682" s="22">
        <f t="shared" si="32"/>
        <v>2.9735982099674831E-3</v>
      </c>
    </row>
    <row r="683" spans="2:28" x14ac:dyDescent="0.25">
      <c r="B683" s="41"/>
      <c r="C683" s="88" t="s">
        <v>565</v>
      </c>
      <c r="D683" s="30" t="s">
        <v>453</v>
      </c>
      <c r="E683" s="31"/>
      <c r="F683" s="31"/>
      <c r="G683" s="31"/>
      <c r="H683" s="31"/>
      <c r="I683" s="31"/>
      <c r="J683" s="31"/>
      <c r="K683" s="31"/>
      <c r="L683" s="31">
        <v>53.91</v>
      </c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13">
        <f t="shared" si="31"/>
        <v>53.91</v>
      </c>
      <c r="AA683" s="38"/>
      <c r="AB683" s="22">
        <f t="shared" si="32"/>
        <v>2.0040840042423679E-3</v>
      </c>
    </row>
    <row r="684" spans="2:28" x14ac:dyDescent="0.25">
      <c r="B684" s="41"/>
      <c r="C684" s="88" t="s">
        <v>566</v>
      </c>
      <c r="D684" s="30" t="s">
        <v>453</v>
      </c>
      <c r="E684" s="31"/>
      <c r="F684" s="31"/>
      <c r="G684" s="31"/>
      <c r="H684" s="31"/>
      <c r="I684" s="31"/>
      <c r="J684" s="31"/>
      <c r="K684" s="31"/>
      <c r="L684" s="31">
        <v>54.09</v>
      </c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13">
        <f t="shared" si="31"/>
        <v>54.09</v>
      </c>
      <c r="AA684" s="38"/>
      <c r="AB684" s="22">
        <f t="shared" si="32"/>
        <v>2.0107754366438454E-3</v>
      </c>
    </row>
    <row r="685" spans="2:28" x14ac:dyDescent="0.25">
      <c r="B685" s="41"/>
      <c r="C685" s="88" t="s">
        <v>567</v>
      </c>
      <c r="D685" s="30" t="s">
        <v>453</v>
      </c>
      <c r="E685" s="31"/>
      <c r="F685" s="31"/>
      <c r="G685" s="31"/>
      <c r="H685" s="31"/>
      <c r="I685" s="31"/>
      <c r="J685" s="31"/>
      <c r="K685" s="31"/>
      <c r="L685" s="31">
        <v>53.1</v>
      </c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13">
        <f t="shared" si="31"/>
        <v>53.1</v>
      </c>
      <c r="AA685" s="38"/>
      <c r="AB685" s="22">
        <f t="shared" si="32"/>
        <v>1.9739725584357218E-3</v>
      </c>
    </row>
    <row r="686" spans="2:28" x14ac:dyDescent="0.25">
      <c r="B686" s="41"/>
      <c r="C686" s="88" t="s">
        <v>568</v>
      </c>
      <c r="D686" s="30" t="s">
        <v>453</v>
      </c>
      <c r="E686" s="31"/>
      <c r="F686" s="31"/>
      <c r="G686" s="31"/>
      <c r="H686" s="31"/>
      <c r="I686" s="31"/>
      <c r="J686" s="31"/>
      <c r="K686" s="31"/>
      <c r="L686" s="31">
        <v>48.46</v>
      </c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13">
        <f t="shared" si="31"/>
        <v>48.46</v>
      </c>
      <c r="AA686" s="38"/>
      <c r="AB686" s="22">
        <f t="shared" si="32"/>
        <v>1.801482300975425E-3</v>
      </c>
    </row>
    <row r="687" spans="2:28" x14ac:dyDescent="0.25">
      <c r="B687" s="41"/>
      <c r="C687" s="88" t="s">
        <v>569</v>
      </c>
      <c r="D687" s="30" t="s">
        <v>453</v>
      </c>
      <c r="E687" s="31"/>
      <c r="F687" s="31"/>
      <c r="G687" s="31"/>
      <c r="H687" s="31"/>
      <c r="I687" s="31"/>
      <c r="J687" s="31"/>
      <c r="K687" s="31"/>
      <c r="L687" s="31">
        <v>43.9</v>
      </c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13">
        <f t="shared" si="31"/>
        <v>43.9</v>
      </c>
      <c r="AA687" s="38"/>
      <c r="AB687" s="22">
        <f t="shared" si="32"/>
        <v>1.6319660134713405E-3</v>
      </c>
    </row>
    <row r="688" spans="2:28" x14ac:dyDescent="0.25">
      <c r="B688" s="41"/>
      <c r="C688" s="88" t="s">
        <v>570</v>
      </c>
      <c r="D688" s="30" t="s">
        <v>453</v>
      </c>
      <c r="E688" s="31"/>
      <c r="F688" s="31"/>
      <c r="G688" s="31"/>
      <c r="H688" s="31"/>
      <c r="I688" s="31"/>
      <c r="J688" s="31"/>
      <c r="K688" s="31"/>
      <c r="L688" s="31">
        <v>63.28</v>
      </c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13">
        <f t="shared" si="31"/>
        <v>63.28</v>
      </c>
      <c r="AA688" s="38"/>
      <c r="AB688" s="22">
        <f t="shared" si="32"/>
        <v>2.3524102353637E-3</v>
      </c>
    </row>
    <row r="689" spans="2:28" x14ac:dyDescent="0.25">
      <c r="B689" s="41"/>
      <c r="C689" s="88" t="s">
        <v>571</v>
      </c>
      <c r="D689" s="30" t="s">
        <v>453</v>
      </c>
      <c r="E689" s="31"/>
      <c r="F689" s="31"/>
      <c r="G689" s="31"/>
      <c r="H689" s="31"/>
      <c r="I689" s="31"/>
      <c r="J689" s="31"/>
      <c r="K689" s="31"/>
      <c r="L689" s="31">
        <v>56.73</v>
      </c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13">
        <f t="shared" si="31"/>
        <v>56.73</v>
      </c>
      <c r="AA689" s="38"/>
      <c r="AB689" s="22">
        <f t="shared" si="32"/>
        <v>2.1089164451988415E-3</v>
      </c>
    </row>
    <row r="690" spans="2:28" x14ac:dyDescent="0.25">
      <c r="B690" s="41"/>
      <c r="C690" s="88" t="s">
        <v>572</v>
      </c>
      <c r="D690" s="30" t="s">
        <v>453</v>
      </c>
      <c r="E690" s="31"/>
      <c r="F690" s="31"/>
      <c r="G690" s="31"/>
      <c r="H690" s="31"/>
      <c r="I690" s="31"/>
      <c r="J690" s="31"/>
      <c r="K690" s="31"/>
      <c r="L690" s="31">
        <v>57.28</v>
      </c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13">
        <f t="shared" si="31"/>
        <v>57.28</v>
      </c>
      <c r="AA690" s="38"/>
      <c r="AB690" s="22">
        <f t="shared" si="32"/>
        <v>2.129362488647799E-3</v>
      </c>
    </row>
    <row r="691" spans="2:28" x14ac:dyDescent="0.25">
      <c r="B691" s="41"/>
      <c r="C691" s="88" t="s">
        <v>573</v>
      </c>
      <c r="D691" s="30" t="s">
        <v>453</v>
      </c>
      <c r="E691" s="31"/>
      <c r="F691" s="31"/>
      <c r="G691" s="31"/>
      <c r="H691" s="31"/>
      <c r="I691" s="31"/>
      <c r="J691" s="31"/>
      <c r="K691" s="31"/>
      <c r="L691" s="31">
        <v>48.1</v>
      </c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13">
        <f t="shared" si="31"/>
        <v>48.1</v>
      </c>
      <c r="AA691" s="38"/>
      <c r="AB691" s="22">
        <f t="shared" si="32"/>
        <v>1.788099436172471E-3</v>
      </c>
    </row>
    <row r="692" spans="2:28" x14ac:dyDescent="0.25">
      <c r="B692" s="41"/>
      <c r="C692" s="88" t="s">
        <v>574</v>
      </c>
      <c r="D692" s="30" t="s">
        <v>453</v>
      </c>
      <c r="E692" s="31"/>
      <c r="F692" s="31"/>
      <c r="G692" s="31"/>
      <c r="H692" s="31"/>
      <c r="I692" s="31"/>
      <c r="J692" s="31"/>
      <c r="K692" s="31"/>
      <c r="L692" s="31">
        <v>53.83</v>
      </c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13">
        <f t="shared" ref="Z692:Z755" si="33">SUM(E692:Y692)</f>
        <v>53.83</v>
      </c>
      <c r="AA692" s="38"/>
      <c r="AB692" s="22">
        <f t="shared" ref="AB692:AB755" si="34">+Z692/$AA$877</f>
        <v>2.0011100342861559E-3</v>
      </c>
    </row>
    <row r="693" spans="2:28" x14ac:dyDescent="0.25">
      <c r="B693" s="41"/>
      <c r="C693" s="88" t="s">
        <v>575</v>
      </c>
      <c r="D693" s="30" t="s">
        <v>453</v>
      </c>
      <c r="E693" s="31"/>
      <c r="F693" s="31"/>
      <c r="G693" s="31"/>
      <c r="H693" s="31"/>
      <c r="I693" s="31"/>
      <c r="J693" s="31"/>
      <c r="K693" s="31"/>
      <c r="L693" s="31">
        <v>59.93</v>
      </c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13">
        <f t="shared" si="33"/>
        <v>59.93</v>
      </c>
      <c r="AA693" s="38"/>
      <c r="AB693" s="22">
        <f t="shared" si="34"/>
        <v>2.227875243447322E-3</v>
      </c>
    </row>
    <row r="694" spans="2:28" x14ac:dyDescent="0.25">
      <c r="B694" s="41"/>
      <c r="C694" s="88" t="s">
        <v>576</v>
      </c>
      <c r="D694" s="30" t="s">
        <v>453</v>
      </c>
      <c r="E694" s="31"/>
      <c r="F694" s="31"/>
      <c r="G694" s="31"/>
      <c r="H694" s="31"/>
      <c r="I694" s="31"/>
      <c r="J694" s="31"/>
      <c r="K694" s="31"/>
      <c r="L694" s="31">
        <v>74.8</v>
      </c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13">
        <f t="shared" si="33"/>
        <v>74.8</v>
      </c>
      <c r="AA694" s="38"/>
      <c r="AB694" s="22">
        <f t="shared" si="34"/>
        <v>2.7806619090582291E-3</v>
      </c>
    </row>
    <row r="695" spans="2:28" x14ac:dyDescent="0.25">
      <c r="B695" s="41"/>
      <c r="C695" s="88" t="s">
        <v>577</v>
      </c>
      <c r="D695" s="30" t="s">
        <v>453</v>
      </c>
      <c r="E695" s="31"/>
      <c r="F695" s="31"/>
      <c r="G695" s="31"/>
      <c r="H695" s="31"/>
      <c r="I695" s="31"/>
      <c r="J695" s="31"/>
      <c r="K695" s="31"/>
      <c r="L695" s="31">
        <v>79.47</v>
      </c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13">
        <f t="shared" si="33"/>
        <v>79.47</v>
      </c>
      <c r="AA695" s="38"/>
      <c r="AB695" s="22">
        <f t="shared" si="34"/>
        <v>2.9542674052521053E-3</v>
      </c>
    </row>
    <row r="696" spans="2:28" x14ac:dyDescent="0.25">
      <c r="B696" s="41"/>
      <c r="C696" s="88" t="s">
        <v>578</v>
      </c>
      <c r="D696" s="30" t="s">
        <v>453</v>
      </c>
      <c r="E696" s="31"/>
      <c r="F696" s="31"/>
      <c r="G696" s="31"/>
      <c r="H696" s="31"/>
      <c r="I696" s="31"/>
      <c r="J696" s="31"/>
      <c r="K696" s="31"/>
      <c r="L696" s="31"/>
      <c r="M696" s="31">
        <v>79.73</v>
      </c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13">
        <f t="shared" si="33"/>
        <v>79.73</v>
      </c>
      <c r="AA696" s="38"/>
      <c r="AB696" s="22">
        <f t="shared" si="34"/>
        <v>2.9639328076097944E-3</v>
      </c>
    </row>
    <row r="697" spans="2:28" x14ac:dyDescent="0.25">
      <c r="B697" s="41"/>
      <c r="C697" s="88" t="s">
        <v>579</v>
      </c>
      <c r="D697" s="30" t="s">
        <v>453</v>
      </c>
      <c r="E697" s="31"/>
      <c r="F697" s="31"/>
      <c r="G697" s="31"/>
      <c r="H697" s="31"/>
      <c r="I697" s="31"/>
      <c r="J697" s="31"/>
      <c r="K697" s="31"/>
      <c r="L697" s="31"/>
      <c r="M697" s="31">
        <v>79.989999999999995</v>
      </c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13">
        <f t="shared" si="33"/>
        <v>79.989999999999995</v>
      </c>
      <c r="AA697" s="38"/>
      <c r="AB697" s="22">
        <f t="shared" si="34"/>
        <v>2.9735982099674831E-3</v>
      </c>
    </row>
    <row r="698" spans="2:28" x14ac:dyDescent="0.25">
      <c r="B698" s="41"/>
      <c r="C698" s="88" t="s">
        <v>580</v>
      </c>
      <c r="D698" s="30" t="s">
        <v>453</v>
      </c>
      <c r="E698" s="31"/>
      <c r="F698" s="31"/>
      <c r="G698" s="31"/>
      <c r="H698" s="31"/>
      <c r="I698" s="31"/>
      <c r="J698" s="31"/>
      <c r="K698" s="31"/>
      <c r="L698" s="31"/>
      <c r="M698" s="31">
        <v>53.91</v>
      </c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13">
        <f t="shared" si="33"/>
        <v>53.91</v>
      </c>
      <c r="AA698" s="38"/>
      <c r="AB698" s="22">
        <f t="shared" si="34"/>
        <v>2.0040840042423679E-3</v>
      </c>
    </row>
    <row r="699" spans="2:28" x14ac:dyDescent="0.25">
      <c r="B699" s="41"/>
      <c r="C699" s="88" t="s">
        <v>581</v>
      </c>
      <c r="D699" s="30" t="s">
        <v>453</v>
      </c>
      <c r="E699" s="31"/>
      <c r="F699" s="31"/>
      <c r="G699" s="31"/>
      <c r="H699" s="31"/>
      <c r="I699" s="31"/>
      <c r="J699" s="31"/>
      <c r="K699" s="31"/>
      <c r="L699" s="31"/>
      <c r="M699" s="31">
        <v>54.09</v>
      </c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13">
        <f t="shared" si="33"/>
        <v>54.09</v>
      </c>
      <c r="AA699" s="38"/>
      <c r="AB699" s="22">
        <f t="shared" si="34"/>
        <v>2.0107754366438454E-3</v>
      </c>
    </row>
    <row r="700" spans="2:28" x14ac:dyDescent="0.25">
      <c r="B700" s="41"/>
      <c r="C700" s="88" t="s">
        <v>582</v>
      </c>
      <c r="D700" s="30" t="s">
        <v>453</v>
      </c>
      <c r="E700" s="31"/>
      <c r="F700" s="31"/>
      <c r="G700" s="31"/>
      <c r="H700" s="31"/>
      <c r="I700" s="31"/>
      <c r="J700" s="31"/>
      <c r="K700" s="31"/>
      <c r="L700" s="31"/>
      <c r="M700" s="31">
        <v>53.1</v>
      </c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13">
        <f t="shared" si="33"/>
        <v>53.1</v>
      </c>
      <c r="AA700" s="38"/>
      <c r="AB700" s="22">
        <f t="shared" si="34"/>
        <v>1.9739725584357218E-3</v>
      </c>
    </row>
    <row r="701" spans="2:28" x14ac:dyDescent="0.25">
      <c r="B701" s="41"/>
      <c r="C701" s="88" t="s">
        <v>583</v>
      </c>
      <c r="D701" s="30" t="s">
        <v>453</v>
      </c>
      <c r="E701" s="31"/>
      <c r="F701" s="31"/>
      <c r="G701" s="31"/>
      <c r="H701" s="31"/>
      <c r="I701" s="31"/>
      <c r="J701" s="31"/>
      <c r="K701" s="31"/>
      <c r="L701" s="31"/>
      <c r="M701" s="31">
        <v>48.46</v>
      </c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13">
        <f t="shared" si="33"/>
        <v>48.46</v>
      </c>
      <c r="AA701" s="38"/>
      <c r="AB701" s="22">
        <f t="shared" si="34"/>
        <v>1.801482300975425E-3</v>
      </c>
    </row>
    <row r="702" spans="2:28" x14ac:dyDescent="0.25">
      <c r="B702" s="41"/>
      <c r="C702" s="88" t="s">
        <v>584</v>
      </c>
      <c r="D702" s="30" t="s">
        <v>453</v>
      </c>
      <c r="E702" s="31"/>
      <c r="F702" s="31"/>
      <c r="G702" s="31"/>
      <c r="H702" s="31"/>
      <c r="I702" s="31"/>
      <c r="J702" s="31"/>
      <c r="K702" s="31"/>
      <c r="L702" s="31"/>
      <c r="M702" s="31">
        <v>43.9</v>
      </c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13">
        <f t="shared" si="33"/>
        <v>43.9</v>
      </c>
      <c r="AA702" s="38"/>
      <c r="AB702" s="22">
        <f t="shared" si="34"/>
        <v>1.6319660134713405E-3</v>
      </c>
    </row>
    <row r="703" spans="2:28" x14ac:dyDescent="0.25">
      <c r="B703" s="41"/>
      <c r="C703" s="88" t="s">
        <v>585</v>
      </c>
      <c r="D703" s="30" t="s">
        <v>453</v>
      </c>
      <c r="E703" s="31"/>
      <c r="F703" s="31"/>
      <c r="G703" s="31"/>
      <c r="H703" s="31"/>
      <c r="I703" s="31"/>
      <c r="J703" s="31"/>
      <c r="K703" s="31"/>
      <c r="L703" s="31"/>
      <c r="M703" s="31">
        <v>63.28</v>
      </c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13">
        <f t="shared" si="33"/>
        <v>63.28</v>
      </c>
      <c r="AA703" s="38"/>
      <c r="AB703" s="22">
        <f t="shared" si="34"/>
        <v>2.3524102353637E-3</v>
      </c>
    </row>
    <row r="704" spans="2:28" x14ac:dyDescent="0.25">
      <c r="B704" s="41"/>
      <c r="C704" s="88" t="s">
        <v>586</v>
      </c>
      <c r="D704" s="30" t="s">
        <v>453</v>
      </c>
      <c r="E704" s="31"/>
      <c r="F704" s="31"/>
      <c r="G704" s="31"/>
      <c r="H704" s="31"/>
      <c r="I704" s="31"/>
      <c r="J704" s="31"/>
      <c r="K704" s="31"/>
      <c r="L704" s="31"/>
      <c r="M704" s="31">
        <v>56.73</v>
      </c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13">
        <f t="shared" si="33"/>
        <v>56.73</v>
      </c>
      <c r="AA704" s="38"/>
      <c r="AB704" s="22">
        <f t="shared" si="34"/>
        <v>2.1089164451988415E-3</v>
      </c>
    </row>
    <row r="705" spans="2:28" x14ac:dyDescent="0.25">
      <c r="B705" s="41"/>
      <c r="C705" s="88" t="s">
        <v>587</v>
      </c>
      <c r="D705" s="30" t="s">
        <v>453</v>
      </c>
      <c r="E705" s="31"/>
      <c r="F705" s="31"/>
      <c r="G705" s="31"/>
      <c r="H705" s="31"/>
      <c r="I705" s="31"/>
      <c r="J705" s="31"/>
      <c r="K705" s="31"/>
      <c r="L705" s="31"/>
      <c r="M705" s="31">
        <v>57.28</v>
      </c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13">
        <f t="shared" si="33"/>
        <v>57.28</v>
      </c>
      <c r="AA705" s="38"/>
      <c r="AB705" s="22">
        <f t="shared" si="34"/>
        <v>2.129362488647799E-3</v>
      </c>
    </row>
    <row r="706" spans="2:28" x14ac:dyDescent="0.25">
      <c r="B706" s="41"/>
      <c r="C706" s="88" t="s">
        <v>588</v>
      </c>
      <c r="D706" s="30" t="s">
        <v>453</v>
      </c>
      <c r="E706" s="31"/>
      <c r="F706" s="31"/>
      <c r="G706" s="31"/>
      <c r="H706" s="31"/>
      <c r="I706" s="31"/>
      <c r="J706" s="31"/>
      <c r="K706" s="31"/>
      <c r="L706" s="31"/>
      <c r="M706" s="31">
        <v>48.1</v>
      </c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13">
        <f t="shared" si="33"/>
        <v>48.1</v>
      </c>
      <c r="AA706" s="38"/>
      <c r="AB706" s="22">
        <f t="shared" si="34"/>
        <v>1.788099436172471E-3</v>
      </c>
    </row>
    <row r="707" spans="2:28" x14ac:dyDescent="0.25">
      <c r="B707" s="41"/>
      <c r="C707" s="88" t="s">
        <v>589</v>
      </c>
      <c r="D707" s="30" t="s">
        <v>453</v>
      </c>
      <c r="E707" s="31"/>
      <c r="F707" s="31"/>
      <c r="G707" s="31"/>
      <c r="H707" s="31"/>
      <c r="I707" s="31"/>
      <c r="J707" s="31"/>
      <c r="K707" s="31"/>
      <c r="L707" s="31"/>
      <c r="M707" s="31">
        <v>53.83</v>
      </c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13">
        <f t="shared" si="33"/>
        <v>53.83</v>
      </c>
      <c r="AA707" s="38"/>
      <c r="AB707" s="22">
        <f t="shared" si="34"/>
        <v>2.0011100342861559E-3</v>
      </c>
    </row>
    <row r="708" spans="2:28" x14ac:dyDescent="0.25">
      <c r="B708" s="41"/>
      <c r="C708" s="88" t="s">
        <v>590</v>
      </c>
      <c r="D708" s="30" t="s">
        <v>453</v>
      </c>
      <c r="E708" s="31"/>
      <c r="F708" s="31"/>
      <c r="G708" s="31"/>
      <c r="H708" s="31"/>
      <c r="I708" s="31"/>
      <c r="J708" s="31"/>
      <c r="K708" s="31"/>
      <c r="L708" s="31"/>
      <c r="M708" s="31">
        <v>59.93</v>
      </c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13">
        <f t="shared" si="33"/>
        <v>59.93</v>
      </c>
      <c r="AA708" s="38"/>
      <c r="AB708" s="22">
        <f t="shared" si="34"/>
        <v>2.227875243447322E-3</v>
      </c>
    </row>
    <row r="709" spans="2:28" x14ac:dyDescent="0.25">
      <c r="B709" s="41"/>
      <c r="C709" s="88" t="s">
        <v>591</v>
      </c>
      <c r="D709" s="30" t="s">
        <v>453</v>
      </c>
      <c r="E709" s="31"/>
      <c r="F709" s="31"/>
      <c r="G709" s="31"/>
      <c r="H709" s="31"/>
      <c r="I709" s="31"/>
      <c r="J709" s="31"/>
      <c r="K709" s="31"/>
      <c r="L709" s="31"/>
      <c r="M709" s="31">
        <v>74.8</v>
      </c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13">
        <f t="shared" si="33"/>
        <v>74.8</v>
      </c>
      <c r="AA709" s="38"/>
      <c r="AB709" s="22">
        <f t="shared" si="34"/>
        <v>2.7806619090582291E-3</v>
      </c>
    </row>
    <row r="710" spans="2:28" x14ac:dyDescent="0.25">
      <c r="B710" s="41"/>
      <c r="C710" s="88" t="s">
        <v>592</v>
      </c>
      <c r="D710" s="30" t="s">
        <v>453</v>
      </c>
      <c r="E710" s="31"/>
      <c r="F710" s="31"/>
      <c r="G710" s="31"/>
      <c r="H710" s="31"/>
      <c r="I710" s="31"/>
      <c r="J710" s="31"/>
      <c r="K710" s="31"/>
      <c r="L710" s="31"/>
      <c r="M710" s="31">
        <v>79.47</v>
      </c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13">
        <f t="shared" si="33"/>
        <v>79.47</v>
      </c>
      <c r="AA710" s="38"/>
      <c r="AB710" s="22">
        <f t="shared" si="34"/>
        <v>2.9542674052521053E-3</v>
      </c>
    </row>
    <row r="711" spans="2:28" x14ac:dyDescent="0.25">
      <c r="B711" s="41"/>
      <c r="C711" s="88" t="s">
        <v>593</v>
      </c>
      <c r="D711" s="30" t="s">
        <v>453</v>
      </c>
      <c r="E711" s="31"/>
      <c r="F711" s="31"/>
      <c r="G711" s="31"/>
      <c r="H711" s="31"/>
      <c r="I711" s="31"/>
      <c r="J711" s="31"/>
      <c r="K711" s="31"/>
      <c r="L711" s="31"/>
      <c r="M711" s="31"/>
      <c r="N711" s="31">
        <v>79.73</v>
      </c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13">
        <f t="shared" si="33"/>
        <v>79.73</v>
      </c>
      <c r="AA711" s="38"/>
      <c r="AB711" s="22">
        <f t="shared" si="34"/>
        <v>2.9639328076097944E-3</v>
      </c>
    </row>
    <row r="712" spans="2:28" x14ac:dyDescent="0.25">
      <c r="B712" s="41"/>
      <c r="C712" s="88" t="s">
        <v>594</v>
      </c>
      <c r="D712" s="30" t="s">
        <v>453</v>
      </c>
      <c r="E712" s="31"/>
      <c r="F712" s="31"/>
      <c r="G712" s="31"/>
      <c r="H712" s="31"/>
      <c r="I712" s="31"/>
      <c r="J712" s="31"/>
      <c r="K712" s="31"/>
      <c r="L712" s="31"/>
      <c r="M712" s="31"/>
      <c r="N712" s="31">
        <v>79.989999999999995</v>
      </c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13">
        <f t="shared" si="33"/>
        <v>79.989999999999995</v>
      </c>
      <c r="AA712" s="38"/>
      <c r="AB712" s="22">
        <f t="shared" si="34"/>
        <v>2.9735982099674831E-3</v>
      </c>
    </row>
    <row r="713" spans="2:28" x14ac:dyDescent="0.25">
      <c r="B713" s="41"/>
      <c r="C713" s="88" t="s">
        <v>595</v>
      </c>
      <c r="D713" s="30" t="s">
        <v>453</v>
      </c>
      <c r="E713" s="31"/>
      <c r="F713" s="31"/>
      <c r="G713" s="31"/>
      <c r="H713" s="31"/>
      <c r="I713" s="31"/>
      <c r="J713" s="31"/>
      <c r="K713" s="31"/>
      <c r="L713" s="31"/>
      <c r="M713" s="31"/>
      <c r="N713" s="31">
        <v>53.91</v>
      </c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13">
        <f t="shared" si="33"/>
        <v>53.91</v>
      </c>
      <c r="AA713" s="38"/>
      <c r="AB713" s="22">
        <f t="shared" si="34"/>
        <v>2.0040840042423679E-3</v>
      </c>
    </row>
    <row r="714" spans="2:28" x14ac:dyDescent="0.25">
      <c r="B714" s="41"/>
      <c r="C714" s="88" t="s">
        <v>596</v>
      </c>
      <c r="D714" s="30" t="s">
        <v>453</v>
      </c>
      <c r="E714" s="31"/>
      <c r="F714" s="31"/>
      <c r="G714" s="31"/>
      <c r="H714" s="31"/>
      <c r="I714" s="31"/>
      <c r="J714" s="31"/>
      <c r="K714" s="31"/>
      <c r="L714" s="31"/>
      <c r="M714" s="31"/>
      <c r="N714" s="31">
        <v>54.09</v>
      </c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13">
        <f t="shared" si="33"/>
        <v>54.09</v>
      </c>
      <c r="AA714" s="38"/>
      <c r="AB714" s="22">
        <f t="shared" si="34"/>
        <v>2.0107754366438454E-3</v>
      </c>
    </row>
    <row r="715" spans="2:28" x14ac:dyDescent="0.25">
      <c r="B715" s="36" t="s">
        <v>875</v>
      </c>
      <c r="C715" s="88" t="s">
        <v>597</v>
      </c>
      <c r="D715" s="30" t="s">
        <v>453</v>
      </c>
      <c r="E715" s="31"/>
      <c r="F715" s="31"/>
      <c r="G715" s="31"/>
      <c r="H715" s="31"/>
      <c r="I715" s="31"/>
      <c r="J715" s="31"/>
      <c r="K715" s="31"/>
      <c r="L715" s="31"/>
      <c r="M715" s="31"/>
      <c r="N715" s="31">
        <v>53.1</v>
      </c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13">
        <f t="shared" si="33"/>
        <v>53.1</v>
      </c>
      <c r="AA715" s="38"/>
      <c r="AB715" s="22">
        <f t="shared" si="34"/>
        <v>1.9739725584357218E-3</v>
      </c>
    </row>
    <row r="716" spans="2:28" x14ac:dyDescent="0.25">
      <c r="B716" s="36" t="s">
        <v>874</v>
      </c>
      <c r="C716" s="88" t="s">
        <v>598</v>
      </c>
      <c r="D716" s="30" t="s">
        <v>453</v>
      </c>
      <c r="E716" s="31"/>
      <c r="F716" s="31"/>
      <c r="G716" s="31"/>
      <c r="H716" s="31"/>
      <c r="I716" s="31"/>
      <c r="J716" s="31"/>
      <c r="K716" s="31"/>
      <c r="L716" s="31"/>
      <c r="M716" s="31"/>
      <c r="N716" s="31">
        <v>48.46</v>
      </c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13">
        <f t="shared" si="33"/>
        <v>48.46</v>
      </c>
      <c r="AA716" s="38"/>
      <c r="AB716" s="22">
        <f t="shared" si="34"/>
        <v>1.801482300975425E-3</v>
      </c>
    </row>
    <row r="717" spans="2:28" x14ac:dyDescent="0.25">
      <c r="B717" s="41"/>
      <c r="C717" s="88" t="s">
        <v>599</v>
      </c>
      <c r="D717" s="30" t="s">
        <v>453</v>
      </c>
      <c r="E717" s="31"/>
      <c r="F717" s="31"/>
      <c r="G717" s="31"/>
      <c r="H717" s="31"/>
      <c r="I717" s="31"/>
      <c r="J717" s="31"/>
      <c r="K717" s="31"/>
      <c r="L717" s="31"/>
      <c r="M717" s="31"/>
      <c r="N717" s="31">
        <v>43.9</v>
      </c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13">
        <f t="shared" si="33"/>
        <v>43.9</v>
      </c>
      <c r="AA717" s="38"/>
      <c r="AB717" s="22">
        <f t="shared" si="34"/>
        <v>1.6319660134713405E-3</v>
      </c>
    </row>
    <row r="718" spans="2:28" x14ac:dyDescent="0.25">
      <c r="B718" s="41"/>
      <c r="C718" s="88" t="s">
        <v>600</v>
      </c>
      <c r="D718" s="30" t="s">
        <v>453</v>
      </c>
      <c r="E718" s="31"/>
      <c r="F718" s="31"/>
      <c r="G718" s="31"/>
      <c r="H718" s="31"/>
      <c r="I718" s="31"/>
      <c r="J718" s="31"/>
      <c r="K718" s="31"/>
      <c r="L718" s="31"/>
      <c r="M718" s="31"/>
      <c r="N718" s="31">
        <v>63.28</v>
      </c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13">
        <f t="shared" si="33"/>
        <v>63.28</v>
      </c>
      <c r="AA718" s="38"/>
      <c r="AB718" s="22">
        <f t="shared" si="34"/>
        <v>2.3524102353637E-3</v>
      </c>
    </row>
    <row r="719" spans="2:28" x14ac:dyDescent="0.25">
      <c r="B719" s="41"/>
      <c r="C719" s="88" t="s">
        <v>601</v>
      </c>
      <c r="D719" s="30" t="s">
        <v>453</v>
      </c>
      <c r="E719" s="31"/>
      <c r="F719" s="31"/>
      <c r="G719" s="31"/>
      <c r="H719" s="31"/>
      <c r="I719" s="31"/>
      <c r="J719" s="31"/>
      <c r="K719" s="31"/>
      <c r="L719" s="31"/>
      <c r="M719" s="31"/>
      <c r="N719" s="31">
        <v>56.73</v>
      </c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13">
        <f t="shared" si="33"/>
        <v>56.73</v>
      </c>
      <c r="AA719" s="38"/>
      <c r="AB719" s="22">
        <f t="shared" si="34"/>
        <v>2.1089164451988415E-3</v>
      </c>
    </row>
    <row r="720" spans="2:28" x14ac:dyDescent="0.25">
      <c r="B720" s="41"/>
      <c r="C720" s="88" t="s">
        <v>602</v>
      </c>
      <c r="D720" s="30" t="s">
        <v>453</v>
      </c>
      <c r="E720" s="31"/>
      <c r="F720" s="31"/>
      <c r="G720" s="31"/>
      <c r="H720" s="31"/>
      <c r="I720" s="31"/>
      <c r="J720" s="31"/>
      <c r="K720" s="31"/>
      <c r="L720" s="31"/>
      <c r="M720" s="31"/>
      <c r="N720" s="31">
        <v>57.28</v>
      </c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13">
        <f t="shared" si="33"/>
        <v>57.28</v>
      </c>
      <c r="AA720" s="38"/>
      <c r="AB720" s="22">
        <f t="shared" si="34"/>
        <v>2.129362488647799E-3</v>
      </c>
    </row>
    <row r="721" spans="2:28" x14ac:dyDescent="0.25">
      <c r="B721" s="41"/>
      <c r="C721" s="88" t="s">
        <v>603</v>
      </c>
      <c r="D721" s="30" t="s">
        <v>453</v>
      </c>
      <c r="E721" s="31"/>
      <c r="F721" s="31"/>
      <c r="G721" s="31"/>
      <c r="H721" s="31"/>
      <c r="I721" s="31"/>
      <c r="J721" s="31"/>
      <c r="K721" s="31"/>
      <c r="L721" s="31"/>
      <c r="M721" s="31"/>
      <c r="N721" s="31">
        <v>48.1</v>
      </c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13">
        <f t="shared" si="33"/>
        <v>48.1</v>
      </c>
      <c r="AA721" s="38"/>
      <c r="AB721" s="22">
        <f t="shared" si="34"/>
        <v>1.788099436172471E-3</v>
      </c>
    </row>
    <row r="722" spans="2:28" x14ac:dyDescent="0.25">
      <c r="B722" s="41"/>
      <c r="C722" s="88" t="s">
        <v>604</v>
      </c>
      <c r="D722" s="30" t="s">
        <v>453</v>
      </c>
      <c r="E722" s="31"/>
      <c r="F722" s="31"/>
      <c r="G722" s="31"/>
      <c r="H722" s="31"/>
      <c r="I722" s="31"/>
      <c r="J722" s="31"/>
      <c r="K722" s="31"/>
      <c r="L722" s="31"/>
      <c r="M722" s="31"/>
      <c r="N722" s="31">
        <v>53.83</v>
      </c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13">
        <f t="shared" si="33"/>
        <v>53.83</v>
      </c>
      <c r="AA722" s="38"/>
      <c r="AB722" s="22">
        <f t="shared" si="34"/>
        <v>2.0011100342861559E-3</v>
      </c>
    </row>
    <row r="723" spans="2:28" x14ac:dyDescent="0.25">
      <c r="B723" s="41"/>
      <c r="C723" s="88" t="s">
        <v>605</v>
      </c>
      <c r="D723" s="30" t="s">
        <v>453</v>
      </c>
      <c r="E723" s="31"/>
      <c r="F723" s="31"/>
      <c r="G723" s="31"/>
      <c r="H723" s="31"/>
      <c r="I723" s="31"/>
      <c r="J723" s="31"/>
      <c r="K723" s="31"/>
      <c r="L723" s="31"/>
      <c r="M723" s="31"/>
      <c r="N723" s="31">
        <v>59.93</v>
      </c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13">
        <f t="shared" si="33"/>
        <v>59.93</v>
      </c>
      <c r="AA723" s="38"/>
      <c r="AB723" s="22">
        <f t="shared" si="34"/>
        <v>2.227875243447322E-3</v>
      </c>
    </row>
    <row r="724" spans="2:28" x14ac:dyDescent="0.25">
      <c r="B724" s="41"/>
      <c r="C724" s="88" t="s">
        <v>606</v>
      </c>
      <c r="D724" s="30" t="s">
        <v>453</v>
      </c>
      <c r="E724" s="31"/>
      <c r="F724" s="31"/>
      <c r="G724" s="31"/>
      <c r="H724" s="31"/>
      <c r="I724" s="31"/>
      <c r="J724" s="31"/>
      <c r="K724" s="31"/>
      <c r="L724" s="31"/>
      <c r="M724" s="31"/>
      <c r="N724" s="31">
        <v>74.8</v>
      </c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13">
        <f t="shared" si="33"/>
        <v>74.8</v>
      </c>
      <c r="AA724" s="38"/>
      <c r="AB724" s="22">
        <f t="shared" si="34"/>
        <v>2.7806619090582291E-3</v>
      </c>
    </row>
    <row r="725" spans="2:28" x14ac:dyDescent="0.25">
      <c r="B725" s="41"/>
      <c r="C725" s="88" t="s">
        <v>607</v>
      </c>
      <c r="D725" s="30" t="s">
        <v>453</v>
      </c>
      <c r="E725" s="31"/>
      <c r="F725" s="31"/>
      <c r="G725" s="31"/>
      <c r="H725" s="31"/>
      <c r="I725" s="31"/>
      <c r="J725" s="31"/>
      <c r="K725" s="31"/>
      <c r="L725" s="31"/>
      <c r="M725" s="31"/>
      <c r="N725" s="31">
        <v>79.47</v>
      </c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13">
        <f t="shared" si="33"/>
        <v>79.47</v>
      </c>
      <c r="AA725" s="38"/>
      <c r="AB725" s="22">
        <f t="shared" si="34"/>
        <v>2.9542674052521053E-3</v>
      </c>
    </row>
    <row r="726" spans="2:28" x14ac:dyDescent="0.25">
      <c r="B726" s="41"/>
      <c r="C726" s="88" t="s">
        <v>608</v>
      </c>
      <c r="D726" s="30" t="s">
        <v>453</v>
      </c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>
        <v>79.73</v>
      </c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13">
        <f t="shared" si="33"/>
        <v>79.73</v>
      </c>
      <c r="AA726" s="38"/>
      <c r="AB726" s="22">
        <f t="shared" si="34"/>
        <v>2.9639328076097944E-3</v>
      </c>
    </row>
    <row r="727" spans="2:28" x14ac:dyDescent="0.25">
      <c r="B727" s="41"/>
      <c r="C727" s="88" t="s">
        <v>609</v>
      </c>
      <c r="D727" s="30" t="s">
        <v>453</v>
      </c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>
        <v>79.989999999999995</v>
      </c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13">
        <f t="shared" si="33"/>
        <v>79.989999999999995</v>
      </c>
      <c r="AA727" s="38"/>
      <c r="AB727" s="22">
        <f t="shared" si="34"/>
        <v>2.9735982099674831E-3</v>
      </c>
    </row>
    <row r="728" spans="2:28" x14ac:dyDescent="0.25">
      <c r="B728" s="41"/>
      <c r="C728" s="88" t="s">
        <v>610</v>
      </c>
      <c r="D728" s="30" t="s">
        <v>453</v>
      </c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>
        <v>53.91</v>
      </c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13">
        <f t="shared" si="33"/>
        <v>53.91</v>
      </c>
      <c r="AA728" s="38"/>
      <c r="AB728" s="22">
        <f t="shared" si="34"/>
        <v>2.0040840042423679E-3</v>
      </c>
    </row>
    <row r="729" spans="2:28" x14ac:dyDescent="0.25">
      <c r="B729" s="41"/>
      <c r="C729" s="88" t="s">
        <v>611</v>
      </c>
      <c r="D729" s="30" t="s">
        <v>453</v>
      </c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>
        <v>54.09</v>
      </c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13">
        <f t="shared" si="33"/>
        <v>54.09</v>
      </c>
      <c r="AA729" s="38"/>
      <c r="AB729" s="22">
        <f t="shared" si="34"/>
        <v>2.0107754366438454E-3</v>
      </c>
    </row>
    <row r="730" spans="2:28" x14ac:dyDescent="0.25">
      <c r="B730" s="41"/>
      <c r="C730" s="88" t="s">
        <v>612</v>
      </c>
      <c r="D730" s="30" t="s">
        <v>453</v>
      </c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>
        <v>53.1</v>
      </c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13">
        <f t="shared" si="33"/>
        <v>53.1</v>
      </c>
      <c r="AA730" s="38"/>
      <c r="AB730" s="22">
        <f t="shared" si="34"/>
        <v>1.9739725584357218E-3</v>
      </c>
    </row>
    <row r="731" spans="2:28" x14ac:dyDescent="0.25">
      <c r="B731" s="41"/>
      <c r="C731" s="88" t="s">
        <v>613</v>
      </c>
      <c r="D731" s="30" t="s">
        <v>453</v>
      </c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>
        <v>48.46</v>
      </c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13">
        <f t="shared" si="33"/>
        <v>48.46</v>
      </c>
      <c r="AA731" s="38"/>
      <c r="AB731" s="22">
        <f t="shared" si="34"/>
        <v>1.801482300975425E-3</v>
      </c>
    </row>
    <row r="732" spans="2:28" x14ac:dyDescent="0.25">
      <c r="B732" s="41"/>
      <c r="C732" s="88" t="s">
        <v>614</v>
      </c>
      <c r="D732" s="30" t="s">
        <v>453</v>
      </c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>
        <v>43.9</v>
      </c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13">
        <f t="shared" si="33"/>
        <v>43.9</v>
      </c>
      <c r="AA732" s="38"/>
      <c r="AB732" s="22">
        <f t="shared" si="34"/>
        <v>1.6319660134713405E-3</v>
      </c>
    </row>
    <row r="733" spans="2:28" x14ac:dyDescent="0.25">
      <c r="B733" s="41"/>
      <c r="C733" s="88" t="s">
        <v>615</v>
      </c>
      <c r="D733" s="30" t="s">
        <v>453</v>
      </c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>
        <v>63.28</v>
      </c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13">
        <f t="shared" si="33"/>
        <v>63.28</v>
      </c>
      <c r="AA733" s="38"/>
      <c r="AB733" s="22">
        <f t="shared" si="34"/>
        <v>2.3524102353637E-3</v>
      </c>
    </row>
    <row r="734" spans="2:28" x14ac:dyDescent="0.25">
      <c r="B734" s="41"/>
      <c r="C734" s="88" t="s">
        <v>616</v>
      </c>
      <c r="D734" s="30" t="s">
        <v>453</v>
      </c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>
        <v>56.73</v>
      </c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13">
        <f t="shared" si="33"/>
        <v>56.73</v>
      </c>
      <c r="AA734" s="38"/>
      <c r="AB734" s="22">
        <f t="shared" si="34"/>
        <v>2.1089164451988415E-3</v>
      </c>
    </row>
    <row r="735" spans="2:28" x14ac:dyDescent="0.25">
      <c r="B735" s="41"/>
      <c r="C735" s="88" t="s">
        <v>617</v>
      </c>
      <c r="D735" s="30" t="s">
        <v>453</v>
      </c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>
        <v>57.28</v>
      </c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13">
        <f t="shared" si="33"/>
        <v>57.28</v>
      </c>
      <c r="AA735" s="38"/>
      <c r="AB735" s="22">
        <f t="shared" si="34"/>
        <v>2.129362488647799E-3</v>
      </c>
    </row>
    <row r="736" spans="2:28" x14ac:dyDescent="0.25">
      <c r="B736" s="41"/>
      <c r="C736" s="88" t="s">
        <v>618</v>
      </c>
      <c r="D736" s="30" t="s">
        <v>453</v>
      </c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>
        <v>48.1</v>
      </c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13">
        <f t="shared" si="33"/>
        <v>48.1</v>
      </c>
      <c r="AA736" s="38"/>
      <c r="AB736" s="22">
        <f t="shared" si="34"/>
        <v>1.788099436172471E-3</v>
      </c>
    </row>
    <row r="737" spans="2:28" x14ac:dyDescent="0.25">
      <c r="B737" s="41"/>
      <c r="C737" s="88" t="s">
        <v>619</v>
      </c>
      <c r="D737" s="30" t="s">
        <v>453</v>
      </c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>
        <v>53.83</v>
      </c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13">
        <f t="shared" si="33"/>
        <v>53.83</v>
      </c>
      <c r="AA737" s="38"/>
      <c r="AB737" s="22">
        <f t="shared" si="34"/>
        <v>2.0011100342861559E-3</v>
      </c>
    </row>
    <row r="738" spans="2:28" x14ac:dyDescent="0.25">
      <c r="B738" s="41"/>
      <c r="C738" s="88" t="s">
        <v>620</v>
      </c>
      <c r="D738" s="30" t="s">
        <v>453</v>
      </c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>
        <v>59.93</v>
      </c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13">
        <f t="shared" si="33"/>
        <v>59.93</v>
      </c>
      <c r="AA738" s="38"/>
      <c r="AB738" s="22">
        <f t="shared" si="34"/>
        <v>2.227875243447322E-3</v>
      </c>
    </row>
    <row r="739" spans="2:28" x14ac:dyDescent="0.25">
      <c r="B739" s="36"/>
      <c r="C739" s="88" t="s">
        <v>621</v>
      </c>
      <c r="D739" s="30" t="s">
        <v>453</v>
      </c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>
        <v>74.8</v>
      </c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13">
        <f t="shared" si="33"/>
        <v>74.8</v>
      </c>
      <c r="AA739" s="38"/>
      <c r="AB739" s="22">
        <f t="shared" si="34"/>
        <v>2.7806619090582291E-3</v>
      </c>
    </row>
    <row r="740" spans="2:28" x14ac:dyDescent="0.25">
      <c r="B740" s="36"/>
      <c r="C740" s="88" t="s">
        <v>622</v>
      </c>
      <c r="D740" s="30" t="s">
        <v>453</v>
      </c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>
        <v>79.47</v>
      </c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13">
        <f t="shared" si="33"/>
        <v>79.47</v>
      </c>
      <c r="AA740" s="38"/>
      <c r="AB740" s="22">
        <f t="shared" si="34"/>
        <v>2.9542674052521053E-3</v>
      </c>
    </row>
    <row r="741" spans="2:28" x14ac:dyDescent="0.25">
      <c r="B741" s="41"/>
      <c r="C741" s="88" t="s">
        <v>623</v>
      </c>
      <c r="D741" s="30" t="s">
        <v>453</v>
      </c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>
        <v>79.73</v>
      </c>
      <c r="Q741" s="31"/>
      <c r="R741" s="31"/>
      <c r="S741" s="31"/>
      <c r="T741" s="31"/>
      <c r="U741" s="31"/>
      <c r="V741" s="31"/>
      <c r="W741" s="31"/>
      <c r="X741" s="31"/>
      <c r="Y741" s="31"/>
      <c r="Z741" s="13">
        <f t="shared" si="33"/>
        <v>79.73</v>
      </c>
      <c r="AA741" s="38"/>
      <c r="AB741" s="22">
        <f t="shared" si="34"/>
        <v>2.9639328076097944E-3</v>
      </c>
    </row>
    <row r="742" spans="2:28" x14ac:dyDescent="0.25">
      <c r="B742" s="41"/>
      <c r="C742" s="88" t="s">
        <v>624</v>
      </c>
      <c r="D742" s="30" t="s">
        <v>453</v>
      </c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>
        <v>79.989999999999995</v>
      </c>
      <c r="Q742" s="31"/>
      <c r="R742" s="31"/>
      <c r="S742" s="31"/>
      <c r="T742" s="31"/>
      <c r="U742" s="31"/>
      <c r="V742" s="31"/>
      <c r="W742" s="31"/>
      <c r="X742" s="31"/>
      <c r="Y742" s="31"/>
      <c r="Z742" s="13">
        <f t="shared" si="33"/>
        <v>79.989999999999995</v>
      </c>
      <c r="AA742" s="38"/>
      <c r="AB742" s="22">
        <f t="shared" si="34"/>
        <v>2.9735982099674831E-3</v>
      </c>
    </row>
    <row r="743" spans="2:28" x14ac:dyDescent="0.25">
      <c r="B743" s="41"/>
      <c r="C743" s="88" t="s">
        <v>625</v>
      </c>
      <c r="D743" s="30" t="s">
        <v>453</v>
      </c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>
        <v>53.91</v>
      </c>
      <c r="Q743" s="31"/>
      <c r="R743" s="31"/>
      <c r="S743" s="31"/>
      <c r="T743" s="31"/>
      <c r="U743" s="31"/>
      <c r="V743" s="31"/>
      <c r="W743" s="31"/>
      <c r="X743" s="31"/>
      <c r="Y743" s="31"/>
      <c r="Z743" s="13">
        <f t="shared" si="33"/>
        <v>53.91</v>
      </c>
      <c r="AA743" s="38"/>
      <c r="AB743" s="22">
        <f t="shared" si="34"/>
        <v>2.0040840042423679E-3</v>
      </c>
    </row>
    <row r="744" spans="2:28" x14ac:dyDescent="0.25">
      <c r="B744" s="41"/>
      <c r="C744" s="88" t="s">
        <v>626</v>
      </c>
      <c r="D744" s="30" t="s">
        <v>453</v>
      </c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>
        <v>54.09</v>
      </c>
      <c r="Q744" s="31"/>
      <c r="R744" s="31"/>
      <c r="S744" s="31"/>
      <c r="T744" s="31"/>
      <c r="U744" s="31"/>
      <c r="V744" s="31"/>
      <c r="W744" s="31"/>
      <c r="X744" s="31"/>
      <c r="Y744" s="31"/>
      <c r="Z744" s="13">
        <f t="shared" si="33"/>
        <v>54.09</v>
      </c>
      <c r="AA744" s="38"/>
      <c r="AB744" s="22">
        <f t="shared" si="34"/>
        <v>2.0107754366438454E-3</v>
      </c>
    </row>
    <row r="745" spans="2:28" x14ac:dyDescent="0.25">
      <c r="B745" s="41"/>
      <c r="C745" s="88" t="s">
        <v>627</v>
      </c>
      <c r="D745" s="30" t="s">
        <v>453</v>
      </c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>
        <v>53.1</v>
      </c>
      <c r="Q745" s="31"/>
      <c r="R745" s="31"/>
      <c r="S745" s="31"/>
      <c r="T745" s="31"/>
      <c r="U745" s="31"/>
      <c r="V745" s="31"/>
      <c r="W745" s="31"/>
      <c r="X745" s="31"/>
      <c r="Y745" s="31"/>
      <c r="Z745" s="13">
        <f t="shared" si="33"/>
        <v>53.1</v>
      </c>
      <c r="AA745" s="38"/>
      <c r="AB745" s="22">
        <f t="shared" si="34"/>
        <v>1.9739725584357218E-3</v>
      </c>
    </row>
    <row r="746" spans="2:28" x14ac:dyDescent="0.25">
      <c r="B746" s="41"/>
      <c r="C746" s="88" t="s">
        <v>628</v>
      </c>
      <c r="D746" s="30" t="s">
        <v>453</v>
      </c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>
        <v>48.46</v>
      </c>
      <c r="Q746" s="31"/>
      <c r="R746" s="31"/>
      <c r="S746" s="31"/>
      <c r="T746" s="31"/>
      <c r="U746" s="31"/>
      <c r="V746" s="31"/>
      <c r="W746" s="31"/>
      <c r="X746" s="31"/>
      <c r="Y746" s="31"/>
      <c r="Z746" s="13">
        <f t="shared" si="33"/>
        <v>48.46</v>
      </c>
      <c r="AA746" s="38"/>
      <c r="AB746" s="22">
        <f t="shared" si="34"/>
        <v>1.801482300975425E-3</v>
      </c>
    </row>
    <row r="747" spans="2:28" x14ac:dyDescent="0.25">
      <c r="B747" s="41"/>
      <c r="C747" s="88" t="s">
        <v>629</v>
      </c>
      <c r="D747" s="30" t="s">
        <v>453</v>
      </c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>
        <v>43.9</v>
      </c>
      <c r="Q747" s="31"/>
      <c r="R747" s="31"/>
      <c r="S747" s="31"/>
      <c r="T747" s="31"/>
      <c r="U747" s="31"/>
      <c r="V747" s="31"/>
      <c r="W747" s="31"/>
      <c r="X747" s="31"/>
      <c r="Y747" s="31"/>
      <c r="Z747" s="13">
        <f t="shared" si="33"/>
        <v>43.9</v>
      </c>
      <c r="AA747" s="38"/>
      <c r="AB747" s="22">
        <f t="shared" si="34"/>
        <v>1.6319660134713405E-3</v>
      </c>
    </row>
    <row r="748" spans="2:28" x14ac:dyDescent="0.25">
      <c r="B748" s="41"/>
      <c r="C748" s="88" t="s">
        <v>630</v>
      </c>
      <c r="D748" s="30" t="s">
        <v>453</v>
      </c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>
        <v>63.28</v>
      </c>
      <c r="Q748" s="31"/>
      <c r="R748" s="31"/>
      <c r="S748" s="31"/>
      <c r="T748" s="31"/>
      <c r="U748" s="31"/>
      <c r="V748" s="31"/>
      <c r="W748" s="31"/>
      <c r="X748" s="31"/>
      <c r="Y748" s="31"/>
      <c r="Z748" s="13">
        <f t="shared" si="33"/>
        <v>63.28</v>
      </c>
      <c r="AA748" s="38"/>
      <c r="AB748" s="22">
        <f t="shared" si="34"/>
        <v>2.3524102353637E-3</v>
      </c>
    </row>
    <row r="749" spans="2:28" x14ac:dyDescent="0.25">
      <c r="B749" s="41"/>
      <c r="C749" s="88" t="s">
        <v>631</v>
      </c>
      <c r="D749" s="30" t="s">
        <v>453</v>
      </c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>
        <v>56.73</v>
      </c>
      <c r="Q749" s="31"/>
      <c r="R749" s="31"/>
      <c r="S749" s="31"/>
      <c r="T749" s="31"/>
      <c r="U749" s="31"/>
      <c r="V749" s="31"/>
      <c r="W749" s="31"/>
      <c r="X749" s="31"/>
      <c r="Y749" s="31"/>
      <c r="Z749" s="13">
        <f t="shared" si="33"/>
        <v>56.73</v>
      </c>
      <c r="AA749" s="38"/>
      <c r="AB749" s="22">
        <f t="shared" si="34"/>
        <v>2.1089164451988415E-3</v>
      </c>
    </row>
    <row r="750" spans="2:28" x14ac:dyDescent="0.25">
      <c r="B750" s="41"/>
      <c r="C750" s="88" t="s">
        <v>632</v>
      </c>
      <c r="D750" s="30" t="s">
        <v>453</v>
      </c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>
        <v>57.28</v>
      </c>
      <c r="Q750" s="31"/>
      <c r="R750" s="31"/>
      <c r="S750" s="31"/>
      <c r="T750" s="31"/>
      <c r="U750" s="31"/>
      <c r="V750" s="31"/>
      <c r="W750" s="31"/>
      <c r="X750" s="31"/>
      <c r="Y750" s="31"/>
      <c r="Z750" s="13">
        <f t="shared" si="33"/>
        <v>57.28</v>
      </c>
      <c r="AA750" s="38"/>
      <c r="AB750" s="22">
        <f t="shared" si="34"/>
        <v>2.129362488647799E-3</v>
      </c>
    </row>
    <row r="751" spans="2:28" x14ac:dyDescent="0.25">
      <c r="B751" s="41"/>
      <c r="C751" s="88" t="s">
        <v>633</v>
      </c>
      <c r="D751" s="30" t="s">
        <v>453</v>
      </c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>
        <v>48.1</v>
      </c>
      <c r="Q751" s="31"/>
      <c r="R751" s="31"/>
      <c r="S751" s="31"/>
      <c r="T751" s="31"/>
      <c r="U751" s="31"/>
      <c r="V751" s="31"/>
      <c r="W751" s="31"/>
      <c r="X751" s="31"/>
      <c r="Y751" s="31"/>
      <c r="Z751" s="13">
        <f t="shared" si="33"/>
        <v>48.1</v>
      </c>
      <c r="AA751" s="38"/>
      <c r="AB751" s="22">
        <f t="shared" si="34"/>
        <v>1.788099436172471E-3</v>
      </c>
    </row>
    <row r="752" spans="2:28" x14ac:dyDescent="0.25">
      <c r="B752" s="41"/>
      <c r="C752" s="88" t="s">
        <v>634</v>
      </c>
      <c r="D752" s="30" t="s">
        <v>453</v>
      </c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>
        <v>53.83</v>
      </c>
      <c r="Q752" s="31"/>
      <c r="R752" s="31"/>
      <c r="S752" s="31"/>
      <c r="T752" s="31"/>
      <c r="U752" s="31"/>
      <c r="V752" s="31"/>
      <c r="W752" s="31"/>
      <c r="X752" s="31"/>
      <c r="Y752" s="31"/>
      <c r="Z752" s="13">
        <f t="shared" si="33"/>
        <v>53.83</v>
      </c>
      <c r="AA752" s="38"/>
      <c r="AB752" s="22">
        <f t="shared" si="34"/>
        <v>2.0011100342861559E-3</v>
      </c>
    </row>
    <row r="753" spans="2:28" x14ac:dyDescent="0.25">
      <c r="B753" s="41"/>
      <c r="C753" s="88" t="s">
        <v>635</v>
      </c>
      <c r="D753" s="30" t="s">
        <v>453</v>
      </c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>
        <v>59.93</v>
      </c>
      <c r="Q753" s="31"/>
      <c r="R753" s="31"/>
      <c r="S753" s="31"/>
      <c r="T753" s="31"/>
      <c r="U753" s="31"/>
      <c r="V753" s="31"/>
      <c r="W753" s="31"/>
      <c r="X753" s="31"/>
      <c r="Y753" s="31"/>
      <c r="Z753" s="13">
        <f t="shared" si="33"/>
        <v>59.93</v>
      </c>
      <c r="AA753" s="38"/>
      <c r="AB753" s="22">
        <f t="shared" si="34"/>
        <v>2.227875243447322E-3</v>
      </c>
    </row>
    <row r="754" spans="2:28" x14ac:dyDescent="0.25">
      <c r="B754" s="41"/>
      <c r="C754" s="88" t="s">
        <v>636</v>
      </c>
      <c r="D754" s="30" t="s">
        <v>453</v>
      </c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>
        <v>74.8</v>
      </c>
      <c r="Q754" s="31"/>
      <c r="R754" s="31"/>
      <c r="S754" s="31"/>
      <c r="T754" s="31"/>
      <c r="U754" s="31"/>
      <c r="V754" s="31"/>
      <c r="W754" s="31"/>
      <c r="X754" s="31"/>
      <c r="Y754" s="31"/>
      <c r="Z754" s="13">
        <f t="shared" si="33"/>
        <v>74.8</v>
      </c>
      <c r="AA754" s="38"/>
      <c r="AB754" s="22">
        <f t="shared" si="34"/>
        <v>2.7806619090582291E-3</v>
      </c>
    </row>
    <row r="755" spans="2:28" x14ac:dyDescent="0.25">
      <c r="B755" s="41"/>
      <c r="C755" s="88" t="s">
        <v>637</v>
      </c>
      <c r="D755" s="30" t="s">
        <v>453</v>
      </c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>
        <v>79.47</v>
      </c>
      <c r="Q755" s="31"/>
      <c r="R755" s="31"/>
      <c r="S755" s="31"/>
      <c r="T755" s="31"/>
      <c r="U755" s="31"/>
      <c r="V755" s="31"/>
      <c r="W755" s="31"/>
      <c r="X755" s="31"/>
      <c r="Y755" s="31"/>
      <c r="Z755" s="13">
        <f t="shared" si="33"/>
        <v>79.47</v>
      </c>
      <c r="AA755" s="38"/>
      <c r="AB755" s="22">
        <f t="shared" si="34"/>
        <v>2.9542674052521053E-3</v>
      </c>
    </row>
    <row r="756" spans="2:28" x14ac:dyDescent="0.25">
      <c r="B756" s="41"/>
      <c r="C756" s="88" t="s">
        <v>638</v>
      </c>
      <c r="D756" s="30" t="s">
        <v>453</v>
      </c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>
        <v>79.73</v>
      </c>
      <c r="R756" s="31"/>
      <c r="S756" s="31"/>
      <c r="T756" s="31"/>
      <c r="U756" s="31"/>
      <c r="V756" s="31"/>
      <c r="W756" s="31"/>
      <c r="X756" s="31"/>
      <c r="Y756" s="31"/>
      <c r="Z756" s="13">
        <f t="shared" ref="Z756:Z819" si="35">SUM(E756:Y756)</f>
        <v>79.73</v>
      </c>
      <c r="AA756" s="38"/>
      <c r="AB756" s="22">
        <f t="shared" ref="AB756:AB819" si="36">+Z756/$AA$877</f>
        <v>2.9639328076097944E-3</v>
      </c>
    </row>
    <row r="757" spans="2:28" x14ac:dyDescent="0.25">
      <c r="B757" s="41"/>
      <c r="C757" s="88" t="s">
        <v>639</v>
      </c>
      <c r="D757" s="30" t="s">
        <v>453</v>
      </c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>
        <v>79.989999999999995</v>
      </c>
      <c r="R757" s="31"/>
      <c r="S757" s="31"/>
      <c r="T757" s="31"/>
      <c r="U757" s="31"/>
      <c r="V757" s="31"/>
      <c r="W757" s="31"/>
      <c r="X757" s="31"/>
      <c r="Y757" s="31"/>
      <c r="Z757" s="13">
        <f t="shared" si="35"/>
        <v>79.989999999999995</v>
      </c>
      <c r="AA757" s="38"/>
      <c r="AB757" s="22">
        <f t="shared" si="36"/>
        <v>2.9735982099674831E-3</v>
      </c>
    </row>
    <row r="758" spans="2:28" x14ac:dyDescent="0.25">
      <c r="B758" s="41"/>
      <c r="C758" s="88" t="s">
        <v>640</v>
      </c>
      <c r="D758" s="30" t="s">
        <v>453</v>
      </c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>
        <v>53.91</v>
      </c>
      <c r="R758" s="31"/>
      <c r="S758" s="31"/>
      <c r="T758" s="31"/>
      <c r="U758" s="31"/>
      <c r="V758" s="31"/>
      <c r="W758" s="31"/>
      <c r="X758" s="31"/>
      <c r="Y758" s="31"/>
      <c r="Z758" s="13">
        <f t="shared" si="35"/>
        <v>53.91</v>
      </c>
      <c r="AA758" s="38"/>
      <c r="AB758" s="22">
        <f t="shared" si="36"/>
        <v>2.0040840042423679E-3</v>
      </c>
    </row>
    <row r="759" spans="2:28" x14ac:dyDescent="0.25">
      <c r="B759" s="41"/>
      <c r="C759" s="88" t="s">
        <v>641</v>
      </c>
      <c r="D759" s="30" t="s">
        <v>453</v>
      </c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>
        <v>54.09</v>
      </c>
      <c r="R759" s="31"/>
      <c r="S759" s="31"/>
      <c r="T759" s="31"/>
      <c r="U759" s="31"/>
      <c r="V759" s="31"/>
      <c r="W759" s="31"/>
      <c r="X759" s="31"/>
      <c r="Y759" s="31"/>
      <c r="Z759" s="13">
        <f t="shared" si="35"/>
        <v>54.09</v>
      </c>
      <c r="AA759" s="38"/>
      <c r="AB759" s="22">
        <f t="shared" si="36"/>
        <v>2.0107754366438454E-3</v>
      </c>
    </row>
    <row r="760" spans="2:28" x14ac:dyDescent="0.25">
      <c r="B760" s="41"/>
      <c r="C760" s="88" t="s">
        <v>642</v>
      </c>
      <c r="D760" s="30" t="s">
        <v>453</v>
      </c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>
        <v>53.1</v>
      </c>
      <c r="R760" s="31"/>
      <c r="S760" s="31"/>
      <c r="T760" s="31"/>
      <c r="U760" s="31"/>
      <c r="V760" s="31"/>
      <c r="W760" s="31"/>
      <c r="X760" s="31"/>
      <c r="Y760" s="31"/>
      <c r="Z760" s="13">
        <f t="shared" si="35"/>
        <v>53.1</v>
      </c>
      <c r="AA760" s="38"/>
      <c r="AB760" s="22">
        <f t="shared" si="36"/>
        <v>1.9739725584357218E-3</v>
      </c>
    </row>
    <row r="761" spans="2:28" x14ac:dyDescent="0.25">
      <c r="B761" s="41"/>
      <c r="C761" s="88" t="s">
        <v>643</v>
      </c>
      <c r="D761" s="30" t="s">
        <v>453</v>
      </c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>
        <v>86.63</v>
      </c>
      <c r="R761" s="31"/>
      <c r="S761" s="31"/>
      <c r="T761" s="31"/>
      <c r="U761" s="31"/>
      <c r="V761" s="31"/>
      <c r="W761" s="31"/>
      <c r="X761" s="31"/>
      <c r="Y761" s="31"/>
      <c r="Z761" s="13">
        <f t="shared" si="35"/>
        <v>86.63</v>
      </c>
      <c r="AA761" s="38"/>
      <c r="AB761" s="22">
        <f t="shared" si="36"/>
        <v>3.2204377163330801E-3</v>
      </c>
    </row>
    <row r="762" spans="2:28" x14ac:dyDescent="0.25">
      <c r="B762" s="41"/>
      <c r="C762" s="88" t="s">
        <v>644</v>
      </c>
      <c r="D762" s="30" t="s">
        <v>453</v>
      </c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>
        <v>69.540000000000006</v>
      </c>
      <c r="R762" s="31"/>
      <c r="S762" s="31"/>
      <c r="T762" s="31"/>
      <c r="U762" s="31"/>
      <c r="V762" s="31"/>
      <c r="W762" s="31"/>
      <c r="X762" s="31"/>
      <c r="Y762" s="31"/>
      <c r="Z762" s="13">
        <f t="shared" si="35"/>
        <v>69.540000000000006</v>
      </c>
      <c r="AA762" s="38"/>
      <c r="AB762" s="22">
        <f t="shared" si="36"/>
        <v>2.5851233844372897E-3</v>
      </c>
    </row>
    <row r="763" spans="2:28" x14ac:dyDescent="0.25">
      <c r="B763" s="41"/>
      <c r="C763" s="88" t="s">
        <v>645</v>
      </c>
      <c r="D763" s="30" t="s">
        <v>453</v>
      </c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>
        <v>56.73</v>
      </c>
      <c r="R763" s="31"/>
      <c r="S763" s="31"/>
      <c r="T763" s="31"/>
      <c r="U763" s="31"/>
      <c r="V763" s="31"/>
      <c r="W763" s="31"/>
      <c r="X763" s="31"/>
      <c r="Y763" s="31"/>
      <c r="Z763" s="13">
        <f t="shared" si="35"/>
        <v>56.73</v>
      </c>
      <c r="AA763" s="38"/>
      <c r="AB763" s="22">
        <f t="shared" si="36"/>
        <v>2.1089164451988415E-3</v>
      </c>
    </row>
    <row r="764" spans="2:28" x14ac:dyDescent="0.25">
      <c r="B764" s="41"/>
      <c r="C764" s="88" t="s">
        <v>646</v>
      </c>
      <c r="D764" s="30" t="s">
        <v>453</v>
      </c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>
        <v>57.28</v>
      </c>
      <c r="R764" s="31"/>
      <c r="S764" s="31"/>
      <c r="T764" s="31"/>
      <c r="U764" s="31"/>
      <c r="V764" s="31"/>
      <c r="W764" s="31"/>
      <c r="X764" s="31"/>
      <c r="Y764" s="31"/>
      <c r="Z764" s="13">
        <f t="shared" si="35"/>
        <v>57.28</v>
      </c>
      <c r="AA764" s="38"/>
      <c r="AB764" s="22">
        <f t="shared" si="36"/>
        <v>2.129362488647799E-3</v>
      </c>
    </row>
    <row r="765" spans="2:28" x14ac:dyDescent="0.25">
      <c r="B765" s="41"/>
      <c r="C765" s="88" t="s">
        <v>647</v>
      </c>
      <c r="D765" s="30" t="s">
        <v>453</v>
      </c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>
        <v>48.1</v>
      </c>
      <c r="R765" s="31"/>
      <c r="S765" s="31"/>
      <c r="T765" s="31"/>
      <c r="U765" s="31"/>
      <c r="V765" s="31"/>
      <c r="W765" s="31"/>
      <c r="X765" s="31"/>
      <c r="Y765" s="31"/>
      <c r="Z765" s="13">
        <f t="shared" si="35"/>
        <v>48.1</v>
      </c>
      <c r="AA765" s="38"/>
      <c r="AB765" s="22">
        <f t="shared" si="36"/>
        <v>1.788099436172471E-3</v>
      </c>
    </row>
    <row r="766" spans="2:28" x14ac:dyDescent="0.25">
      <c r="B766" s="41"/>
      <c r="C766" s="88" t="s">
        <v>648</v>
      </c>
      <c r="D766" s="30" t="s">
        <v>453</v>
      </c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>
        <v>53.83</v>
      </c>
      <c r="R766" s="31"/>
      <c r="S766" s="31"/>
      <c r="T766" s="31"/>
      <c r="U766" s="31"/>
      <c r="V766" s="31"/>
      <c r="W766" s="31"/>
      <c r="X766" s="31"/>
      <c r="Y766" s="31"/>
      <c r="Z766" s="13">
        <f t="shared" si="35"/>
        <v>53.83</v>
      </c>
      <c r="AA766" s="38"/>
      <c r="AB766" s="22">
        <f t="shared" si="36"/>
        <v>2.0011100342861559E-3</v>
      </c>
    </row>
    <row r="767" spans="2:28" x14ac:dyDescent="0.25">
      <c r="B767" s="41"/>
      <c r="C767" s="88" t="s">
        <v>649</v>
      </c>
      <c r="D767" s="30" t="s">
        <v>453</v>
      </c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>
        <v>59.93</v>
      </c>
      <c r="R767" s="31"/>
      <c r="S767" s="31"/>
      <c r="T767" s="31"/>
      <c r="U767" s="31"/>
      <c r="V767" s="31"/>
      <c r="W767" s="31"/>
      <c r="X767" s="31"/>
      <c r="Y767" s="31"/>
      <c r="Z767" s="13">
        <f t="shared" si="35"/>
        <v>59.93</v>
      </c>
      <c r="AA767" s="38"/>
      <c r="AB767" s="22">
        <f t="shared" si="36"/>
        <v>2.227875243447322E-3</v>
      </c>
    </row>
    <row r="768" spans="2:28" x14ac:dyDescent="0.25">
      <c r="B768" s="41"/>
      <c r="C768" s="88" t="s">
        <v>650</v>
      </c>
      <c r="D768" s="30" t="s">
        <v>453</v>
      </c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>
        <v>74.8</v>
      </c>
      <c r="R768" s="31"/>
      <c r="S768" s="31"/>
      <c r="T768" s="31"/>
      <c r="U768" s="31"/>
      <c r="V768" s="31"/>
      <c r="W768" s="31"/>
      <c r="X768" s="31"/>
      <c r="Y768" s="31"/>
      <c r="Z768" s="13">
        <f t="shared" si="35"/>
        <v>74.8</v>
      </c>
      <c r="AA768" s="38"/>
      <c r="AB768" s="22">
        <f t="shared" si="36"/>
        <v>2.7806619090582291E-3</v>
      </c>
    </row>
    <row r="769" spans="2:28" x14ac:dyDescent="0.25">
      <c r="B769" s="41"/>
      <c r="C769" s="88" t="s">
        <v>651</v>
      </c>
      <c r="D769" s="30" t="s">
        <v>453</v>
      </c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>
        <v>79.47</v>
      </c>
      <c r="R769" s="31"/>
      <c r="S769" s="31"/>
      <c r="T769" s="31"/>
      <c r="U769" s="31"/>
      <c r="V769" s="31"/>
      <c r="W769" s="31"/>
      <c r="X769" s="31"/>
      <c r="Y769" s="31"/>
      <c r="Z769" s="13">
        <f t="shared" si="35"/>
        <v>79.47</v>
      </c>
      <c r="AA769" s="38"/>
      <c r="AB769" s="22">
        <f t="shared" si="36"/>
        <v>2.9542674052521053E-3</v>
      </c>
    </row>
    <row r="770" spans="2:28" x14ac:dyDescent="0.25">
      <c r="B770" s="41"/>
      <c r="C770" s="88" t="s">
        <v>652</v>
      </c>
      <c r="D770" s="30" t="s">
        <v>453</v>
      </c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>
        <v>79.73</v>
      </c>
      <c r="S770" s="31"/>
      <c r="T770" s="31"/>
      <c r="U770" s="31"/>
      <c r="V770" s="31"/>
      <c r="W770" s="31"/>
      <c r="X770" s="31"/>
      <c r="Y770" s="31"/>
      <c r="Z770" s="13">
        <f t="shared" si="35"/>
        <v>79.73</v>
      </c>
      <c r="AA770" s="38"/>
      <c r="AB770" s="22">
        <f t="shared" si="36"/>
        <v>2.9639328076097944E-3</v>
      </c>
    </row>
    <row r="771" spans="2:28" x14ac:dyDescent="0.25">
      <c r="B771" s="41"/>
      <c r="C771" s="88" t="s">
        <v>653</v>
      </c>
      <c r="D771" s="30" t="s">
        <v>453</v>
      </c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>
        <v>79.989999999999995</v>
      </c>
      <c r="S771" s="31"/>
      <c r="T771" s="31"/>
      <c r="U771" s="31"/>
      <c r="V771" s="31"/>
      <c r="W771" s="31"/>
      <c r="X771" s="31"/>
      <c r="Y771" s="31"/>
      <c r="Z771" s="13">
        <f t="shared" si="35"/>
        <v>79.989999999999995</v>
      </c>
      <c r="AA771" s="38"/>
      <c r="AB771" s="22">
        <f t="shared" si="36"/>
        <v>2.9735982099674831E-3</v>
      </c>
    </row>
    <row r="772" spans="2:28" x14ac:dyDescent="0.25">
      <c r="B772" s="41"/>
      <c r="C772" s="88" t="s">
        <v>654</v>
      </c>
      <c r="D772" s="30" t="s">
        <v>453</v>
      </c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>
        <v>53.91</v>
      </c>
      <c r="S772" s="31"/>
      <c r="T772" s="31"/>
      <c r="U772" s="31"/>
      <c r="V772" s="31"/>
      <c r="W772" s="31"/>
      <c r="X772" s="31"/>
      <c r="Y772" s="31"/>
      <c r="Z772" s="13">
        <f t="shared" si="35"/>
        <v>53.91</v>
      </c>
      <c r="AA772" s="38"/>
      <c r="AB772" s="22">
        <f t="shared" si="36"/>
        <v>2.0040840042423679E-3</v>
      </c>
    </row>
    <row r="773" spans="2:28" x14ac:dyDescent="0.25">
      <c r="B773" s="41"/>
      <c r="C773" s="88" t="s">
        <v>655</v>
      </c>
      <c r="D773" s="30" t="s">
        <v>453</v>
      </c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>
        <v>54.09</v>
      </c>
      <c r="S773" s="31"/>
      <c r="T773" s="31"/>
      <c r="U773" s="31"/>
      <c r="V773" s="31"/>
      <c r="W773" s="31"/>
      <c r="X773" s="31"/>
      <c r="Y773" s="31"/>
      <c r="Z773" s="13">
        <f t="shared" si="35"/>
        <v>54.09</v>
      </c>
      <c r="AA773" s="38"/>
      <c r="AB773" s="22">
        <f t="shared" si="36"/>
        <v>2.0107754366438454E-3</v>
      </c>
    </row>
    <row r="774" spans="2:28" x14ac:dyDescent="0.25">
      <c r="B774" s="41"/>
      <c r="C774" s="88" t="s">
        <v>656</v>
      </c>
      <c r="D774" s="30" t="s">
        <v>453</v>
      </c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>
        <v>53.1</v>
      </c>
      <c r="S774" s="31"/>
      <c r="T774" s="31"/>
      <c r="U774" s="31"/>
      <c r="V774" s="31"/>
      <c r="W774" s="31"/>
      <c r="X774" s="31"/>
      <c r="Y774" s="31"/>
      <c r="Z774" s="13">
        <f t="shared" si="35"/>
        <v>53.1</v>
      </c>
      <c r="AA774" s="38"/>
      <c r="AB774" s="22">
        <f t="shared" si="36"/>
        <v>1.9739725584357218E-3</v>
      </c>
    </row>
    <row r="775" spans="2:28" x14ac:dyDescent="0.25">
      <c r="B775" s="41"/>
      <c r="C775" s="88" t="s">
        <v>657</v>
      </c>
      <c r="D775" s="30" t="s">
        <v>453</v>
      </c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>
        <v>86.63</v>
      </c>
      <c r="S775" s="31"/>
      <c r="T775" s="31"/>
      <c r="U775" s="31"/>
      <c r="V775" s="31"/>
      <c r="W775" s="31"/>
      <c r="X775" s="31"/>
      <c r="Y775" s="31"/>
      <c r="Z775" s="13">
        <f t="shared" si="35"/>
        <v>86.63</v>
      </c>
      <c r="AA775" s="38"/>
      <c r="AB775" s="22">
        <f t="shared" si="36"/>
        <v>3.2204377163330801E-3</v>
      </c>
    </row>
    <row r="776" spans="2:28" x14ac:dyDescent="0.25">
      <c r="B776" s="41"/>
      <c r="C776" s="88" t="s">
        <v>658</v>
      </c>
      <c r="D776" s="30" t="s">
        <v>453</v>
      </c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>
        <v>69.540000000000006</v>
      </c>
      <c r="S776" s="31"/>
      <c r="T776" s="31"/>
      <c r="U776" s="31"/>
      <c r="V776" s="31"/>
      <c r="W776" s="31"/>
      <c r="X776" s="31"/>
      <c r="Y776" s="31"/>
      <c r="Z776" s="13">
        <f t="shared" si="35"/>
        <v>69.540000000000006</v>
      </c>
      <c r="AA776" s="38"/>
      <c r="AB776" s="22">
        <f t="shared" si="36"/>
        <v>2.5851233844372897E-3</v>
      </c>
    </row>
    <row r="777" spans="2:28" x14ac:dyDescent="0.25">
      <c r="B777" s="41"/>
      <c r="C777" s="88" t="s">
        <v>659</v>
      </c>
      <c r="D777" s="30" t="s">
        <v>453</v>
      </c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>
        <v>56.73</v>
      </c>
      <c r="S777" s="31"/>
      <c r="T777" s="31"/>
      <c r="U777" s="31"/>
      <c r="V777" s="31"/>
      <c r="W777" s="31"/>
      <c r="X777" s="31"/>
      <c r="Y777" s="31"/>
      <c r="Z777" s="13">
        <f t="shared" si="35"/>
        <v>56.73</v>
      </c>
      <c r="AA777" s="38"/>
      <c r="AB777" s="22">
        <f t="shared" si="36"/>
        <v>2.1089164451988415E-3</v>
      </c>
    </row>
    <row r="778" spans="2:28" x14ac:dyDescent="0.25">
      <c r="B778" s="41"/>
      <c r="C778" s="88" t="s">
        <v>660</v>
      </c>
      <c r="D778" s="30" t="s">
        <v>453</v>
      </c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>
        <v>57.28</v>
      </c>
      <c r="S778" s="31"/>
      <c r="T778" s="31"/>
      <c r="U778" s="31"/>
      <c r="V778" s="31"/>
      <c r="W778" s="31"/>
      <c r="X778" s="31"/>
      <c r="Y778" s="31"/>
      <c r="Z778" s="13">
        <f t="shared" si="35"/>
        <v>57.28</v>
      </c>
      <c r="AA778" s="38"/>
      <c r="AB778" s="22">
        <f t="shared" si="36"/>
        <v>2.129362488647799E-3</v>
      </c>
    </row>
    <row r="779" spans="2:28" x14ac:dyDescent="0.25">
      <c r="B779" s="41"/>
      <c r="C779" s="88" t="s">
        <v>661</v>
      </c>
      <c r="D779" s="30" t="s">
        <v>453</v>
      </c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>
        <v>48.1</v>
      </c>
      <c r="S779" s="31"/>
      <c r="T779" s="31"/>
      <c r="U779" s="31"/>
      <c r="V779" s="31"/>
      <c r="W779" s="31"/>
      <c r="X779" s="31"/>
      <c r="Y779" s="31"/>
      <c r="Z779" s="13">
        <f t="shared" si="35"/>
        <v>48.1</v>
      </c>
      <c r="AA779" s="38"/>
      <c r="AB779" s="22">
        <f t="shared" si="36"/>
        <v>1.788099436172471E-3</v>
      </c>
    </row>
    <row r="780" spans="2:28" x14ac:dyDescent="0.25">
      <c r="B780" s="41"/>
      <c r="C780" s="88" t="s">
        <v>662</v>
      </c>
      <c r="D780" s="30" t="s">
        <v>453</v>
      </c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>
        <v>53.83</v>
      </c>
      <c r="S780" s="31"/>
      <c r="T780" s="31"/>
      <c r="U780" s="31"/>
      <c r="V780" s="31"/>
      <c r="W780" s="31"/>
      <c r="X780" s="31"/>
      <c r="Y780" s="31"/>
      <c r="Z780" s="13">
        <f t="shared" si="35"/>
        <v>53.83</v>
      </c>
      <c r="AA780" s="38"/>
      <c r="AB780" s="22">
        <f t="shared" si="36"/>
        <v>2.0011100342861559E-3</v>
      </c>
    </row>
    <row r="781" spans="2:28" x14ac:dyDescent="0.25">
      <c r="B781" s="41"/>
      <c r="C781" s="88" t="s">
        <v>663</v>
      </c>
      <c r="D781" s="30" t="s">
        <v>453</v>
      </c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>
        <v>59.93</v>
      </c>
      <c r="S781" s="31"/>
      <c r="T781" s="31"/>
      <c r="U781" s="31"/>
      <c r="V781" s="31"/>
      <c r="W781" s="31"/>
      <c r="X781" s="31"/>
      <c r="Y781" s="31"/>
      <c r="Z781" s="13">
        <f t="shared" si="35"/>
        <v>59.93</v>
      </c>
      <c r="AA781" s="38"/>
      <c r="AB781" s="22">
        <f t="shared" si="36"/>
        <v>2.227875243447322E-3</v>
      </c>
    </row>
    <row r="782" spans="2:28" x14ac:dyDescent="0.25">
      <c r="B782" s="41"/>
      <c r="C782" s="88" t="s">
        <v>664</v>
      </c>
      <c r="D782" s="30" t="s">
        <v>453</v>
      </c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>
        <v>74.8</v>
      </c>
      <c r="S782" s="31"/>
      <c r="T782" s="31"/>
      <c r="U782" s="31"/>
      <c r="V782" s="31"/>
      <c r="W782" s="31"/>
      <c r="X782" s="31"/>
      <c r="Y782" s="31"/>
      <c r="Z782" s="13">
        <f t="shared" si="35"/>
        <v>74.8</v>
      </c>
      <c r="AA782" s="38"/>
      <c r="AB782" s="22">
        <f t="shared" si="36"/>
        <v>2.7806619090582291E-3</v>
      </c>
    </row>
    <row r="783" spans="2:28" x14ac:dyDescent="0.25">
      <c r="B783" s="41"/>
      <c r="C783" s="88" t="s">
        <v>665</v>
      </c>
      <c r="D783" s="30" t="s">
        <v>453</v>
      </c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>
        <v>79.47</v>
      </c>
      <c r="S783" s="31"/>
      <c r="T783" s="31"/>
      <c r="U783" s="31"/>
      <c r="V783" s="31"/>
      <c r="W783" s="31"/>
      <c r="X783" s="31"/>
      <c r="Y783" s="31"/>
      <c r="Z783" s="13">
        <f t="shared" si="35"/>
        <v>79.47</v>
      </c>
      <c r="AA783" s="38"/>
      <c r="AB783" s="22">
        <f t="shared" si="36"/>
        <v>2.9542674052521053E-3</v>
      </c>
    </row>
    <row r="784" spans="2:28" x14ac:dyDescent="0.25">
      <c r="B784" s="41"/>
      <c r="C784" s="88" t="s">
        <v>666</v>
      </c>
      <c r="D784" s="30" t="s">
        <v>453</v>
      </c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>
        <v>79.73</v>
      </c>
      <c r="T784" s="31"/>
      <c r="U784" s="31"/>
      <c r="V784" s="31"/>
      <c r="W784" s="31"/>
      <c r="X784" s="31"/>
      <c r="Y784" s="31"/>
      <c r="Z784" s="13">
        <f t="shared" si="35"/>
        <v>79.73</v>
      </c>
      <c r="AA784" s="38"/>
      <c r="AB784" s="22">
        <f t="shared" si="36"/>
        <v>2.9639328076097944E-3</v>
      </c>
    </row>
    <row r="785" spans="2:28" x14ac:dyDescent="0.25">
      <c r="B785" s="41"/>
      <c r="C785" s="88" t="s">
        <v>667</v>
      </c>
      <c r="D785" s="30" t="s">
        <v>453</v>
      </c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>
        <v>79.989999999999995</v>
      </c>
      <c r="T785" s="31"/>
      <c r="U785" s="31"/>
      <c r="V785" s="31"/>
      <c r="W785" s="31"/>
      <c r="X785" s="31"/>
      <c r="Y785" s="31"/>
      <c r="Z785" s="13">
        <f t="shared" si="35"/>
        <v>79.989999999999995</v>
      </c>
      <c r="AA785" s="38"/>
      <c r="AB785" s="22">
        <f t="shared" si="36"/>
        <v>2.9735982099674831E-3</v>
      </c>
    </row>
    <row r="786" spans="2:28" x14ac:dyDescent="0.25">
      <c r="B786" s="41"/>
      <c r="C786" s="88" t="s">
        <v>668</v>
      </c>
      <c r="D786" s="30" t="s">
        <v>453</v>
      </c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>
        <v>53.91</v>
      </c>
      <c r="T786" s="31"/>
      <c r="U786" s="31"/>
      <c r="V786" s="31"/>
      <c r="W786" s="31"/>
      <c r="X786" s="31"/>
      <c r="Y786" s="31"/>
      <c r="Z786" s="13">
        <f t="shared" si="35"/>
        <v>53.91</v>
      </c>
      <c r="AA786" s="38"/>
      <c r="AB786" s="22">
        <f t="shared" si="36"/>
        <v>2.0040840042423679E-3</v>
      </c>
    </row>
    <row r="787" spans="2:28" x14ac:dyDescent="0.25">
      <c r="B787" s="41"/>
      <c r="C787" s="88" t="s">
        <v>669</v>
      </c>
      <c r="D787" s="30" t="s">
        <v>453</v>
      </c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>
        <v>54.09</v>
      </c>
      <c r="T787" s="31"/>
      <c r="U787" s="31"/>
      <c r="V787" s="31"/>
      <c r="W787" s="31"/>
      <c r="X787" s="31"/>
      <c r="Y787" s="31"/>
      <c r="Z787" s="13">
        <f t="shared" si="35"/>
        <v>54.09</v>
      </c>
      <c r="AA787" s="38"/>
      <c r="AB787" s="22">
        <f t="shared" si="36"/>
        <v>2.0107754366438454E-3</v>
      </c>
    </row>
    <row r="788" spans="2:28" x14ac:dyDescent="0.25">
      <c r="B788" s="41"/>
      <c r="C788" s="88" t="s">
        <v>670</v>
      </c>
      <c r="D788" s="30" t="s">
        <v>453</v>
      </c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>
        <v>53.1</v>
      </c>
      <c r="T788" s="31"/>
      <c r="U788" s="31"/>
      <c r="V788" s="31"/>
      <c r="W788" s="31"/>
      <c r="X788" s="31"/>
      <c r="Y788" s="31"/>
      <c r="Z788" s="13">
        <f t="shared" si="35"/>
        <v>53.1</v>
      </c>
      <c r="AA788" s="38"/>
      <c r="AB788" s="22">
        <f t="shared" si="36"/>
        <v>1.9739725584357218E-3</v>
      </c>
    </row>
    <row r="789" spans="2:28" x14ac:dyDescent="0.25">
      <c r="B789" s="41"/>
      <c r="C789" s="88" t="s">
        <v>671</v>
      </c>
      <c r="D789" s="30" t="s">
        <v>453</v>
      </c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>
        <v>86.63</v>
      </c>
      <c r="T789" s="31"/>
      <c r="U789" s="31"/>
      <c r="V789" s="31"/>
      <c r="W789" s="31"/>
      <c r="X789" s="31"/>
      <c r="Y789" s="31"/>
      <c r="Z789" s="13">
        <f t="shared" si="35"/>
        <v>86.63</v>
      </c>
      <c r="AA789" s="38"/>
      <c r="AB789" s="22">
        <f t="shared" si="36"/>
        <v>3.2204377163330801E-3</v>
      </c>
    </row>
    <row r="790" spans="2:28" x14ac:dyDescent="0.25">
      <c r="B790" s="41"/>
      <c r="C790" s="88" t="s">
        <v>672</v>
      </c>
      <c r="D790" s="30" t="s">
        <v>453</v>
      </c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>
        <v>69.540000000000006</v>
      </c>
      <c r="T790" s="31"/>
      <c r="U790" s="31"/>
      <c r="V790" s="31"/>
      <c r="W790" s="31"/>
      <c r="X790" s="31"/>
      <c r="Y790" s="31"/>
      <c r="Z790" s="13">
        <f t="shared" si="35"/>
        <v>69.540000000000006</v>
      </c>
      <c r="AA790" s="38"/>
      <c r="AB790" s="22">
        <f t="shared" si="36"/>
        <v>2.5851233844372897E-3</v>
      </c>
    </row>
    <row r="791" spans="2:28" x14ac:dyDescent="0.25">
      <c r="B791" s="41"/>
      <c r="C791" s="88" t="s">
        <v>673</v>
      </c>
      <c r="D791" s="30" t="s">
        <v>453</v>
      </c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>
        <v>56.73</v>
      </c>
      <c r="T791" s="31"/>
      <c r="U791" s="31"/>
      <c r="V791" s="31"/>
      <c r="W791" s="31"/>
      <c r="X791" s="31"/>
      <c r="Y791" s="31"/>
      <c r="Z791" s="13">
        <f t="shared" si="35"/>
        <v>56.73</v>
      </c>
      <c r="AA791" s="38"/>
      <c r="AB791" s="22">
        <f t="shared" si="36"/>
        <v>2.1089164451988415E-3</v>
      </c>
    </row>
    <row r="792" spans="2:28" x14ac:dyDescent="0.25">
      <c r="B792" s="41"/>
      <c r="C792" s="88" t="s">
        <v>674</v>
      </c>
      <c r="D792" s="30" t="s">
        <v>453</v>
      </c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>
        <v>57.28</v>
      </c>
      <c r="T792" s="31"/>
      <c r="U792" s="31"/>
      <c r="V792" s="31"/>
      <c r="W792" s="31"/>
      <c r="X792" s="31"/>
      <c r="Y792" s="31"/>
      <c r="Z792" s="13">
        <f t="shared" si="35"/>
        <v>57.28</v>
      </c>
      <c r="AA792" s="38"/>
      <c r="AB792" s="22">
        <f t="shared" si="36"/>
        <v>2.129362488647799E-3</v>
      </c>
    </row>
    <row r="793" spans="2:28" x14ac:dyDescent="0.25">
      <c r="B793" s="41"/>
      <c r="C793" s="88" t="s">
        <v>675</v>
      </c>
      <c r="D793" s="30" t="s">
        <v>453</v>
      </c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>
        <v>48.1</v>
      </c>
      <c r="T793" s="31"/>
      <c r="U793" s="31"/>
      <c r="V793" s="31"/>
      <c r="W793" s="31"/>
      <c r="X793" s="31"/>
      <c r="Y793" s="31"/>
      <c r="Z793" s="13">
        <f t="shared" si="35"/>
        <v>48.1</v>
      </c>
      <c r="AA793" s="38"/>
      <c r="AB793" s="22">
        <f t="shared" si="36"/>
        <v>1.788099436172471E-3</v>
      </c>
    </row>
    <row r="794" spans="2:28" x14ac:dyDescent="0.25">
      <c r="B794" s="41"/>
      <c r="C794" s="88" t="s">
        <v>676</v>
      </c>
      <c r="D794" s="30" t="s">
        <v>453</v>
      </c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>
        <v>53.83</v>
      </c>
      <c r="T794" s="31"/>
      <c r="U794" s="31"/>
      <c r="V794" s="31"/>
      <c r="W794" s="31"/>
      <c r="X794" s="31"/>
      <c r="Y794" s="31"/>
      <c r="Z794" s="13">
        <f t="shared" si="35"/>
        <v>53.83</v>
      </c>
      <c r="AA794" s="38"/>
      <c r="AB794" s="22">
        <f t="shared" si="36"/>
        <v>2.0011100342861559E-3</v>
      </c>
    </row>
    <row r="795" spans="2:28" x14ac:dyDescent="0.25">
      <c r="B795" s="41"/>
      <c r="C795" s="88" t="s">
        <v>677</v>
      </c>
      <c r="D795" s="30" t="s">
        <v>453</v>
      </c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>
        <v>59.93</v>
      </c>
      <c r="T795" s="31"/>
      <c r="U795" s="31"/>
      <c r="V795" s="31"/>
      <c r="W795" s="31"/>
      <c r="X795" s="31"/>
      <c r="Y795" s="31"/>
      <c r="Z795" s="13">
        <f t="shared" si="35"/>
        <v>59.93</v>
      </c>
      <c r="AA795" s="38"/>
      <c r="AB795" s="22">
        <f t="shared" si="36"/>
        <v>2.227875243447322E-3</v>
      </c>
    </row>
    <row r="796" spans="2:28" x14ac:dyDescent="0.25">
      <c r="B796" s="41"/>
      <c r="C796" s="88" t="s">
        <v>678</v>
      </c>
      <c r="D796" s="30" t="s">
        <v>453</v>
      </c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>
        <v>74.8</v>
      </c>
      <c r="T796" s="31"/>
      <c r="U796" s="31"/>
      <c r="V796" s="31"/>
      <c r="W796" s="31"/>
      <c r="X796" s="31"/>
      <c r="Y796" s="31"/>
      <c r="Z796" s="13">
        <f t="shared" si="35"/>
        <v>74.8</v>
      </c>
      <c r="AA796" s="38"/>
      <c r="AB796" s="22">
        <f t="shared" si="36"/>
        <v>2.7806619090582291E-3</v>
      </c>
    </row>
    <row r="797" spans="2:28" x14ac:dyDescent="0.25">
      <c r="B797" s="41"/>
      <c r="C797" s="88" t="s">
        <v>679</v>
      </c>
      <c r="D797" s="30" t="s">
        <v>453</v>
      </c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>
        <v>79.47</v>
      </c>
      <c r="T797" s="31"/>
      <c r="U797" s="31"/>
      <c r="V797" s="31"/>
      <c r="W797" s="31"/>
      <c r="X797" s="31"/>
      <c r="Y797" s="31"/>
      <c r="Z797" s="13">
        <f t="shared" si="35"/>
        <v>79.47</v>
      </c>
      <c r="AA797" s="38"/>
      <c r="AB797" s="22">
        <f t="shared" si="36"/>
        <v>2.9542674052521053E-3</v>
      </c>
    </row>
    <row r="798" spans="2:28" x14ac:dyDescent="0.25">
      <c r="B798" s="41"/>
      <c r="C798" s="88" t="s">
        <v>680</v>
      </c>
      <c r="D798" s="30" t="s">
        <v>453</v>
      </c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>
        <v>79.73</v>
      </c>
      <c r="U798" s="31"/>
      <c r="V798" s="31"/>
      <c r="W798" s="31"/>
      <c r="X798" s="31"/>
      <c r="Y798" s="31"/>
      <c r="Z798" s="13">
        <f t="shared" si="35"/>
        <v>79.73</v>
      </c>
      <c r="AA798" s="38"/>
      <c r="AB798" s="22">
        <f t="shared" si="36"/>
        <v>2.9639328076097944E-3</v>
      </c>
    </row>
    <row r="799" spans="2:28" x14ac:dyDescent="0.25">
      <c r="B799" s="41"/>
      <c r="C799" s="88" t="s">
        <v>681</v>
      </c>
      <c r="D799" s="30" t="s">
        <v>453</v>
      </c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>
        <v>79.989999999999995</v>
      </c>
      <c r="U799" s="31"/>
      <c r="V799" s="31"/>
      <c r="W799" s="31"/>
      <c r="X799" s="31"/>
      <c r="Y799" s="31"/>
      <c r="Z799" s="13">
        <f t="shared" si="35"/>
        <v>79.989999999999995</v>
      </c>
      <c r="AA799" s="38"/>
      <c r="AB799" s="22">
        <f t="shared" si="36"/>
        <v>2.9735982099674831E-3</v>
      </c>
    </row>
    <row r="800" spans="2:28" x14ac:dyDescent="0.25">
      <c r="B800" s="41"/>
      <c r="C800" s="88" t="s">
        <v>682</v>
      </c>
      <c r="D800" s="30" t="s">
        <v>453</v>
      </c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>
        <v>53.91</v>
      </c>
      <c r="U800" s="31"/>
      <c r="V800" s="31"/>
      <c r="W800" s="31"/>
      <c r="X800" s="31"/>
      <c r="Y800" s="31"/>
      <c r="Z800" s="13">
        <f t="shared" si="35"/>
        <v>53.91</v>
      </c>
      <c r="AA800" s="38"/>
      <c r="AB800" s="22">
        <f t="shared" si="36"/>
        <v>2.0040840042423679E-3</v>
      </c>
    </row>
    <row r="801" spans="2:28" x14ac:dyDescent="0.25">
      <c r="B801" s="41"/>
      <c r="C801" s="88" t="s">
        <v>683</v>
      </c>
      <c r="D801" s="30" t="s">
        <v>453</v>
      </c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>
        <v>54.09</v>
      </c>
      <c r="U801" s="31"/>
      <c r="V801" s="31"/>
      <c r="W801" s="31"/>
      <c r="X801" s="31"/>
      <c r="Y801" s="31"/>
      <c r="Z801" s="13">
        <f t="shared" si="35"/>
        <v>54.09</v>
      </c>
      <c r="AA801" s="38"/>
      <c r="AB801" s="22">
        <f t="shared" si="36"/>
        <v>2.0107754366438454E-3</v>
      </c>
    </row>
    <row r="802" spans="2:28" x14ac:dyDescent="0.25">
      <c r="B802" s="41"/>
      <c r="C802" s="88" t="s">
        <v>684</v>
      </c>
      <c r="D802" s="30" t="s">
        <v>453</v>
      </c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>
        <v>53.1</v>
      </c>
      <c r="U802" s="31"/>
      <c r="V802" s="31"/>
      <c r="W802" s="31"/>
      <c r="X802" s="31"/>
      <c r="Y802" s="31"/>
      <c r="Z802" s="13">
        <f t="shared" si="35"/>
        <v>53.1</v>
      </c>
      <c r="AA802" s="38"/>
      <c r="AB802" s="22">
        <f t="shared" si="36"/>
        <v>1.9739725584357218E-3</v>
      </c>
    </row>
    <row r="803" spans="2:28" x14ac:dyDescent="0.25">
      <c r="B803" s="41"/>
      <c r="C803" s="88" t="s">
        <v>685</v>
      </c>
      <c r="D803" s="30" t="s">
        <v>453</v>
      </c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>
        <v>86.63</v>
      </c>
      <c r="U803" s="31"/>
      <c r="V803" s="31"/>
      <c r="W803" s="31"/>
      <c r="X803" s="31"/>
      <c r="Y803" s="31"/>
      <c r="Z803" s="13">
        <f t="shared" si="35"/>
        <v>86.63</v>
      </c>
      <c r="AA803" s="38"/>
      <c r="AB803" s="22">
        <f t="shared" si="36"/>
        <v>3.2204377163330801E-3</v>
      </c>
    </row>
    <row r="804" spans="2:28" x14ac:dyDescent="0.25">
      <c r="B804" s="41"/>
      <c r="C804" s="88" t="s">
        <v>686</v>
      </c>
      <c r="D804" s="30" t="s">
        <v>453</v>
      </c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>
        <v>69.540000000000006</v>
      </c>
      <c r="U804" s="31"/>
      <c r="V804" s="31"/>
      <c r="W804" s="31"/>
      <c r="X804" s="31"/>
      <c r="Y804" s="31"/>
      <c r="Z804" s="13">
        <f t="shared" si="35"/>
        <v>69.540000000000006</v>
      </c>
      <c r="AA804" s="38"/>
      <c r="AB804" s="22">
        <f t="shared" si="36"/>
        <v>2.5851233844372897E-3</v>
      </c>
    </row>
    <row r="805" spans="2:28" x14ac:dyDescent="0.25">
      <c r="B805" s="41"/>
      <c r="C805" s="88" t="s">
        <v>687</v>
      </c>
      <c r="D805" s="30" t="s">
        <v>453</v>
      </c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>
        <v>56.73</v>
      </c>
      <c r="U805" s="31"/>
      <c r="V805" s="31"/>
      <c r="W805" s="31"/>
      <c r="X805" s="31"/>
      <c r="Y805" s="31"/>
      <c r="Z805" s="13">
        <f t="shared" si="35"/>
        <v>56.73</v>
      </c>
      <c r="AA805" s="38"/>
      <c r="AB805" s="22">
        <f t="shared" si="36"/>
        <v>2.1089164451988415E-3</v>
      </c>
    </row>
    <row r="806" spans="2:28" x14ac:dyDescent="0.25">
      <c r="B806" s="41"/>
      <c r="C806" s="88" t="s">
        <v>688</v>
      </c>
      <c r="D806" s="30" t="s">
        <v>453</v>
      </c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>
        <v>57.28</v>
      </c>
      <c r="U806" s="31"/>
      <c r="V806" s="31"/>
      <c r="W806" s="31"/>
      <c r="X806" s="31"/>
      <c r="Y806" s="31"/>
      <c r="Z806" s="13">
        <f t="shared" si="35"/>
        <v>57.28</v>
      </c>
      <c r="AA806" s="38"/>
      <c r="AB806" s="22">
        <f t="shared" si="36"/>
        <v>2.129362488647799E-3</v>
      </c>
    </row>
    <row r="807" spans="2:28" x14ac:dyDescent="0.25">
      <c r="B807" s="41"/>
      <c r="C807" s="88" t="s">
        <v>689</v>
      </c>
      <c r="D807" s="30" t="s">
        <v>453</v>
      </c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>
        <v>48.1</v>
      </c>
      <c r="U807" s="31"/>
      <c r="V807" s="31"/>
      <c r="W807" s="31"/>
      <c r="X807" s="31"/>
      <c r="Y807" s="31"/>
      <c r="Z807" s="13">
        <f t="shared" si="35"/>
        <v>48.1</v>
      </c>
      <c r="AA807" s="38"/>
      <c r="AB807" s="22">
        <f t="shared" si="36"/>
        <v>1.788099436172471E-3</v>
      </c>
    </row>
    <row r="808" spans="2:28" x14ac:dyDescent="0.25">
      <c r="B808" s="41"/>
      <c r="C808" s="88" t="s">
        <v>690</v>
      </c>
      <c r="D808" s="30" t="s">
        <v>453</v>
      </c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>
        <v>53.83</v>
      </c>
      <c r="U808" s="31"/>
      <c r="V808" s="31"/>
      <c r="W808" s="31"/>
      <c r="X808" s="31"/>
      <c r="Y808" s="31"/>
      <c r="Z808" s="13">
        <f t="shared" si="35"/>
        <v>53.83</v>
      </c>
      <c r="AA808" s="38"/>
      <c r="AB808" s="22">
        <f t="shared" si="36"/>
        <v>2.0011100342861559E-3</v>
      </c>
    </row>
    <row r="809" spans="2:28" x14ac:dyDescent="0.25">
      <c r="B809" s="41"/>
      <c r="C809" s="88" t="s">
        <v>691</v>
      </c>
      <c r="D809" s="30" t="s">
        <v>453</v>
      </c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>
        <v>59.93</v>
      </c>
      <c r="U809" s="31"/>
      <c r="V809" s="31"/>
      <c r="W809" s="31"/>
      <c r="X809" s="31"/>
      <c r="Y809" s="31"/>
      <c r="Z809" s="13">
        <f t="shared" si="35"/>
        <v>59.93</v>
      </c>
      <c r="AA809" s="38"/>
      <c r="AB809" s="22">
        <f t="shared" si="36"/>
        <v>2.227875243447322E-3</v>
      </c>
    </row>
    <row r="810" spans="2:28" x14ac:dyDescent="0.25">
      <c r="B810" s="41"/>
      <c r="C810" s="88" t="s">
        <v>692</v>
      </c>
      <c r="D810" s="30" t="s">
        <v>453</v>
      </c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>
        <v>74.8</v>
      </c>
      <c r="U810" s="31"/>
      <c r="V810" s="31"/>
      <c r="W810" s="31"/>
      <c r="X810" s="31"/>
      <c r="Y810" s="31"/>
      <c r="Z810" s="13">
        <f t="shared" si="35"/>
        <v>74.8</v>
      </c>
      <c r="AA810" s="38"/>
      <c r="AB810" s="22">
        <f t="shared" si="36"/>
        <v>2.7806619090582291E-3</v>
      </c>
    </row>
    <row r="811" spans="2:28" x14ac:dyDescent="0.25">
      <c r="B811" s="41"/>
      <c r="C811" s="88" t="s">
        <v>693</v>
      </c>
      <c r="D811" s="30" t="s">
        <v>453</v>
      </c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>
        <v>79.47</v>
      </c>
      <c r="U811" s="31"/>
      <c r="V811" s="31"/>
      <c r="W811" s="31"/>
      <c r="X811" s="31"/>
      <c r="Y811" s="31"/>
      <c r="Z811" s="13">
        <f t="shared" si="35"/>
        <v>79.47</v>
      </c>
      <c r="AA811" s="38"/>
      <c r="AB811" s="22">
        <f t="shared" si="36"/>
        <v>2.9542674052521053E-3</v>
      </c>
    </row>
    <row r="812" spans="2:28" x14ac:dyDescent="0.25">
      <c r="B812" s="41"/>
      <c r="C812" s="88" t="s">
        <v>694</v>
      </c>
      <c r="D812" s="30" t="s">
        <v>453</v>
      </c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>
        <v>79.73</v>
      </c>
      <c r="V812" s="31"/>
      <c r="W812" s="31"/>
      <c r="X812" s="31"/>
      <c r="Y812" s="31"/>
      <c r="Z812" s="13">
        <f t="shared" si="35"/>
        <v>79.73</v>
      </c>
      <c r="AA812" s="38"/>
      <c r="AB812" s="22">
        <f t="shared" si="36"/>
        <v>2.9639328076097944E-3</v>
      </c>
    </row>
    <row r="813" spans="2:28" x14ac:dyDescent="0.25">
      <c r="B813" s="41"/>
      <c r="C813" s="88" t="s">
        <v>695</v>
      </c>
      <c r="D813" s="30" t="s">
        <v>453</v>
      </c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>
        <v>79.989999999999995</v>
      </c>
      <c r="V813" s="31"/>
      <c r="W813" s="31"/>
      <c r="X813" s="31"/>
      <c r="Y813" s="31"/>
      <c r="Z813" s="13">
        <f t="shared" si="35"/>
        <v>79.989999999999995</v>
      </c>
      <c r="AA813" s="38"/>
      <c r="AB813" s="22">
        <f t="shared" si="36"/>
        <v>2.9735982099674831E-3</v>
      </c>
    </row>
    <row r="814" spans="2:28" x14ac:dyDescent="0.25">
      <c r="B814" s="41"/>
      <c r="C814" s="88" t="s">
        <v>696</v>
      </c>
      <c r="D814" s="30" t="s">
        <v>453</v>
      </c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>
        <v>53.91</v>
      </c>
      <c r="V814" s="31"/>
      <c r="W814" s="31"/>
      <c r="X814" s="31"/>
      <c r="Y814" s="31"/>
      <c r="Z814" s="13">
        <f t="shared" si="35"/>
        <v>53.91</v>
      </c>
      <c r="AA814" s="38"/>
      <c r="AB814" s="22">
        <f t="shared" si="36"/>
        <v>2.0040840042423679E-3</v>
      </c>
    </row>
    <row r="815" spans="2:28" x14ac:dyDescent="0.25">
      <c r="B815" s="41"/>
      <c r="C815" s="88" t="s">
        <v>697</v>
      </c>
      <c r="D815" s="30" t="s">
        <v>453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>
        <v>54.09</v>
      </c>
      <c r="V815" s="31"/>
      <c r="W815" s="31"/>
      <c r="X815" s="31"/>
      <c r="Y815" s="31"/>
      <c r="Z815" s="13">
        <f t="shared" si="35"/>
        <v>54.09</v>
      </c>
      <c r="AA815" s="38"/>
      <c r="AB815" s="22">
        <f t="shared" si="36"/>
        <v>2.0107754366438454E-3</v>
      </c>
    </row>
    <row r="816" spans="2:28" x14ac:dyDescent="0.25">
      <c r="B816" s="41"/>
      <c r="C816" s="88" t="s">
        <v>698</v>
      </c>
      <c r="D816" s="30" t="s">
        <v>453</v>
      </c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>
        <v>53.1</v>
      </c>
      <c r="V816" s="31"/>
      <c r="W816" s="31"/>
      <c r="X816" s="31"/>
      <c r="Y816" s="31"/>
      <c r="Z816" s="13">
        <f t="shared" si="35"/>
        <v>53.1</v>
      </c>
      <c r="AA816" s="38"/>
      <c r="AB816" s="22">
        <f t="shared" si="36"/>
        <v>1.9739725584357218E-3</v>
      </c>
    </row>
    <row r="817" spans="2:28" x14ac:dyDescent="0.25">
      <c r="B817" s="41"/>
      <c r="C817" s="88" t="s">
        <v>699</v>
      </c>
      <c r="D817" s="30" t="s">
        <v>453</v>
      </c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>
        <v>86.63</v>
      </c>
      <c r="V817" s="31"/>
      <c r="W817" s="31"/>
      <c r="X817" s="31"/>
      <c r="Y817" s="31"/>
      <c r="Z817" s="13">
        <f t="shared" si="35"/>
        <v>86.63</v>
      </c>
      <c r="AA817" s="38"/>
      <c r="AB817" s="22">
        <f t="shared" si="36"/>
        <v>3.2204377163330801E-3</v>
      </c>
    </row>
    <row r="818" spans="2:28" x14ac:dyDescent="0.25">
      <c r="B818" s="41"/>
      <c r="C818" s="88" t="s">
        <v>700</v>
      </c>
      <c r="D818" s="30" t="s">
        <v>453</v>
      </c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>
        <v>69.540000000000006</v>
      </c>
      <c r="V818" s="31"/>
      <c r="W818" s="31"/>
      <c r="X818" s="31"/>
      <c r="Y818" s="31"/>
      <c r="Z818" s="13">
        <f t="shared" si="35"/>
        <v>69.540000000000006</v>
      </c>
      <c r="AA818" s="38"/>
      <c r="AB818" s="22">
        <f t="shared" si="36"/>
        <v>2.5851233844372897E-3</v>
      </c>
    </row>
    <row r="819" spans="2:28" x14ac:dyDescent="0.25">
      <c r="B819" s="41"/>
      <c r="C819" s="88" t="s">
        <v>701</v>
      </c>
      <c r="D819" s="30" t="s">
        <v>453</v>
      </c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>
        <v>56.73</v>
      </c>
      <c r="V819" s="31"/>
      <c r="W819" s="31"/>
      <c r="X819" s="31"/>
      <c r="Y819" s="31"/>
      <c r="Z819" s="13">
        <f t="shared" si="35"/>
        <v>56.73</v>
      </c>
      <c r="AA819" s="38"/>
      <c r="AB819" s="22">
        <f t="shared" si="36"/>
        <v>2.1089164451988415E-3</v>
      </c>
    </row>
    <row r="820" spans="2:28" x14ac:dyDescent="0.25">
      <c r="B820" s="41"/>
      <c r="C820" s="88" t="s">
        <v>702</v>
      </c>
      <c r="D820" s="30" t="s">
        <v>453</v>
      </c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>
        <v>57.28</v>
      </c>
      <c r="V820" s="31"/>
      <c r="W820" s="31"/>
      <c r="X820" s="31"/>
      <c r="Y820" s="31"/>
      <c r="Z820" s="13">
        <f t="shared" ref="Z820:Z841" si="37">SUM(E820:Y820)</f>
        <v>57.28</v>
      </c>
      <c r="AA820" s="38"/>
      <c r="AB820" s="22">
        <f t="shared" ref="AB820:AB840" si="38">+Z820/$AA$877</f>
        <v>2.129362488647799E-3</v>
      </c>
    </row>
    <row r="821" spans="2:28" x14ac:dyDescent="0.25">
      <c r="B821" s="41"/>
      <c r="C821" s="88" t="s">
        <v>703</v>
      </c>
      <c r="D821" s="30" t="s">
        <v>453</v>
      </c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>
        <v>48.1</v>
      </c>
      <c r="V821" s="31"/>
      <c r="W821" s="31"/>
      <c r="X821" s="31"/>
      <c r="Y821" s="31"/>
      <c r="Z821" s="13">
        <f t="shared" si="37"/>
        <v>48.1</v>
      </c>
      <c r="AA821" s="38"/>
      <c r="AB821" s="22">
        <f t="shared" si="38"/>
        <v>1.788099436172471E-3</v>
      </c>
    </row>
    <row r="822" spans="2:28" x14ac:dyDescent="0.25">
      <c r="B822" s="41"/>
      <c r="C822" s="88" t="s">
        <v>704</v>
      </c>
      <c r="D822" s="30" t="s">
        <v>453</v>
      </c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>
        <v>53.83</v>
      </c>
      <c r="V822" s="31"/>
      <c r="W822" s="31"/>
      <c r="X822" s="31"/>
      <c r="Y822" s="31"/>
      <c r="Z822" s="13">
        <f t="shared" si="37"/>
        <v>53.83</v>
      </c>
      <c r="AA822" s="38"/>
      <c r="AB822" s="22">
        <f t="shared" si="38"/>
        <v>2.0011100342861559E-3</v>
      </c>
    </row>
    <row r="823" spans="2:28" x14ac:dyDescent="0.25">
      <c r="B823" s="41"/>
      <c r="C823" s="88" t="s">
        <v>705</v>
      </c>
      <c r="D823" s="30" t="s">
        <v>453</v>
      </c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>
        <v>59.93</v>
      </c>
      <c r="V823" s="31"/>
      <c r="W823" s="31"/>
      <c r="X823" s="31"/>
      <c r="Y823" s="31"/>
      <c r="Z823" s="13">
        <f t="shared" si="37"/>
        <v>59.93</v>
      </c>
      <c r="AA823" s="38"/>
      <c r="AB823" s="22">
        <f t="shared" si="38"/>
        <v>2.227875243447322E-3</v>
      </c>
    </row>
    <row r="824" spans="2:28" x14ac:dyDescent="0.25">
      <c r="B824" s="41"/>
      <c r="C824" s="88" t="s">
        <v>706</v>
      </c>
      <c r="D824" s="30" t="s">
        <v>453</v>
      </c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>
        <v>74.8</v>
      </c>
      <c r="V824" s="31"/>
      <c r="W824" s="31"/>
      <c r="X824" s="31"/>
      <c r="Y824" s="31"/>
      <c r="Z824" s="13">
        <f t="shared" si="37"/>
        <v>74.8</v>
      </c>
      <c r="AA824" s="38"/>
      <c r="AB824" s="22">
        <f t="shared" si="38"/>
        <v>2.7806619090582291E-3</v>
      </c>
    </row>
    <row r="825" spans="2:28" x14ac:dyDescent="0.25">
      <c r="B825" s="41"/>
      <c r="C825" s="88" t="s">
        <v>707</v>
      </c>
      <c r="D825" s="30" t="s">
        <v>453</v>
      </c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>
        <v>79.47</v>
      </c>
      <c r="V825" s="31"/>
      <c r="W825" s="31"/>
      <c r="X825" s="31"/>
      <c r="Y825" s="31"/>
      <c r="Z825" s="13">
        <f t="shared" si="37"/>
        <v>79.47</v>
      </c>
      <c r="AA825" s="38"/>
      <c r="AB825" s="22">
        <f t="shared" si="38"/>
        <v>2.9542674052521053E-3</v>
      </c>
    </row>
    <row r="826" spans="2:28" x14ac:dyDescent="0.25">
      <c r="B826" s="41"/>
      <c r="C826" s="88" t="s">
        <v>708</v>
      </c>
      <c r="D826" s="30" t="s">
        <v>453</v>
      </c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>
        <v>79.73</v>
      </c>
      <c r="W826" s="31"/>
      <c r="X826" s="31"/>
      <c r="Y826" s="31"/>
      <c r="Z826" s="13">
        <f t="shared" si="37"/>
        <v>79.73</v>
      </c>
      <c r="AA826" s="38"/>
      <c r="AB826" s="22">
        <f t="shared" si="38"/>
        <v>2.9639328076097944E-3</v>
      </c>
    </row>
    <row r="827" spans="2:28" x14ac:dyDescent="0.25">
      <c r="B827" s="41"/>
      <c r="C827" s="88" t="s">
        <v>709</v>
      </c>
      <c r="D827" s="30" t="s">
        <v>453</v>
      </c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>
        <v>79.989999999999995</v>
      </c>
      <c r="W827" s="31"/>
      <c r="X827" s="31"/>
      <c r="Y827" s="31"/>
      <c r="Z827" s="13">
        <f t="shared" si="37"/>
        <v>79.989999999999995</v>
      </c>
      <c r="AA827" s="38"/>
      <c r="AB827" s="22">
        <f t="shared" si="38"/>
        <v>2.9735982099674831E-3</v>
      </c>
    </row>
    <row r="828" spans="2:28" x14ac:dyDescent="0.25">
      <c r="B828" s="41"/>
      <c r="C828" s="88" t="s">
        <v>710</v>
      </c>
      <c r="D828" s="30" t="s">
        <v>453</v>
      </c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>
        <v>53.91</v>
      </c>
      <c r="W828" s="31"/>
      <c r="X828" s="31"/>
      <c r="Y828" s="31"/>
      <c r="Z828" s="13">
        <f t="shared" si="37"/>
        <v>53.91</v>
      </c>
      <c r="AA828" s="38"/>
      <c r="AB828" s="22">
        <f t="shared" si="38"/>
        <v>2.0040840042423679E-3</v>
      </c>
    </row>
    <row r="829" spans="2:28" x14ac:dyDescent="0.25">
      <c r="B829" s="41"/>
      <c r="C829" s="88" t="s">
        <v>711</v>
      </c>
      <c r="D829" s="30" t="s">
        <v>453</v>
      </c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>
        <v>56.73</v>
      </c>
      <c r="W829" s="31"/>
      <c r="X829" s="31"/>
      <c r="Y829" s="31"/>
      <c r="Z829" s="13">
        <f t="shared" si="37"/>
        <v>56.73</v>
      </c>
      <c r="AA829" s="38"/>
      <c r="AB829" s="22">
        <f t="shared" si="38"/>
        <v>2.1089164451988415E-3</v>
      </c>
    </row>
    <row r="830" spans="2:28" x14ac:dyDescent="0.25">
      <c r="B830" s="41"/>
      <c r="C830" s="88" t="s">
        <v>712</v>
      </c>
      <c r="D830" s="30" t="s">
        <v>453</v>
      </c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>
        <v>57.28</v>
      </c>
      <c r="W830" s="31"/>
      <c r="X830" s="31"/>
      <c r="Y830" s="31"/>
      <c r="Z830" s="13">
        <f t="shared" si="37"/>
        <v>57.28</v>
      </c>
      <c r="AA830" s="38"/>
      <c r="AB830" s="22">
        <f t="shared" si="38"/>
        <v>2.129362488647799E-3</v>
      </c>
    </row>
    <row r="831" spans="2:28" x14ac:dyDescent="0.25">
      <c r="B831" s="41"/>
      <c r="C831" s="88" t="s">
        <v>713</v>
      </c>
      <c r="D831" s="30" t="s">
        <v>453</v>
      </c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>
        <v>48.1</v>
      </c>
      <c r="W831" s="31"/>
      <c r="X831" s="31"/>
      <c r="Y831" s="31"/>
      <c r="Z831" s="13">
        <f t="shared" si="37"/>
        <v>48.1</v>
      </c>
      <c r="AA831" s="38"/>
      <c r="AB831" s="22">
        <f t="shared" si="38"/>
        <v>1.788099436172471E-3</v>
      </c>
    </row>
    <row r="832" spans="2:28" x14ac:dyDescent="0.25">
      <c r="B832" s="41"/>
      <c r="C832" s="88" t="s">
        <v>714</v>
      </c>
      <c r="D832" s="30" t="s">
        <v>453</v>
      </c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>
        <v>53.83</v>
      </c>
      <c r="W832" s="31"/>
      <c r="X832" s="31"/>
      <c r="Y832" s="31"/>
      <c r="Z832" s="13">
        <f t="shared" si="37"/>
        <v>53.83</v>
      </c>
      <c r="AA832" s="38"/>
      <c r="AB832" s="22">
        <f t="shared" si="38"/>
        <v>2.0011100342861559E-3</v>
      </c>
    </row>
    <row r="833" spans="2:30" x14ac:dyDescent="0.25">
      <c r="B833" s="41"/>
      <c r="C833" s="88" t="s">
        <v>715</v>
      </c>
      <c r="D833" s="30" t="s">
        <v>453</v>
      </c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>
        <v>59.93</v>
      </c>
      <c r="W833" s="31"/>
      <c r="X833" s="31"/>
      <c r="Y833" s="31"/>
      <c r="Z833" s="13">
        <f t="shared" si="37"/>
        <v>59.93</v>
      </c>
      <c r="AA833" s="38"/>
      <c r="AB833" s="22">
        <f t="shared" si="38"/>
        <v>2.227875243447322E-3</v>
      </c>
    </row>
    <row r="834" spans="2:30" x14ac:dyDescent="0.25">
      <c r="B834" s="41"/>
      <c r="C834" s="88" t="s">
        <v>716</v>
      </c>
      <c r="D834" s="30" t="s">
        <v>453</v>
      </c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>
        <v>74.8</v>
      </c>
      <c r="W834" s="31"/>
      <c r="X834" s="31"/>
      <c r="Y834" s="31"/>
      <c r="Z834" s="13">
        <f t="shared" si="37"/>
        <v>74.8</v>
      </c>
      <c r="AA834" s="38"/>
      <c r="AB834" s="22">
        <f t="shared" si="38"/>
        <v>2.7806619090582291E-3</v>
      </c>
    </row>
    <row r="835" spans="2:30" x14ac:dyDescent="0.25">
      <c r="B835" s="41"/>
      <c r="C835" s="88" t="s">
        <v>717</v>
      </c>
      <c r="D835" s="30" t="s">
        <v>453</v>
      </c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>
        <v>79.47</v>
      </c>
      <c r="W835" s="31"/>
      <c r="X835" s="31"/>
      <c r="Y835" s="31"/>
      <c r="Z835" s="13">
        <f t="shared" si="37"/>
        <v>79.47</v>
      </c>
      <c r="AA835" s="38"/>
      <c r="AB835" s="22">
        <f t="shared" si="38"/>
        <v>2.9542674052521053E-3</v>
      </c>
    </row>
    <row r="836" spans="2:30" x14ac:dyDescent="0.25">
      <c r="B836" s="41"/>
      <c r="C836" s="88" t="s">
        <v>718</v>
      </c>
      <c r="D836" s="30" t="s">
        <v>37</v>
      </c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>
        <v>5.18</v>
      </c>
      <c r="X836" s="31"/>
      <c r="Y836" s="31"/>
      <c r="Z836" s="13">
        <f t="shared" si="37"/>
        <v>5.18</v>
      </c>
      <c r="AA836" s="38"/>
      <c r="AB836" s="22">
        <f t="shared" si="38"/>
        <v>1.9256455466472764E-4</v>
      </c>
    </row>
    <row r="837" spans="2:30" x14ac:dyDescent="0.25">
      <c r="B837" s="41"/>
      <c r="C837" s="88" t="s">
        <v>719</v>
      </c>
      <c r="D837" s="30" t="s">
        <v>37</v>
      </c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>
        <v>5.18</v>
      </c>
      <c r="X837" s="31"/>
      <c r="Y837" s="31"/>
      <c r="Z837" s="13">
        <f t="shared" si="37"/>
        <v>5.18</v>
      </c>
      <c r="AA837" s="38"/>
      <c r="AB837" s="22">
        <f t="shared" si="38"/>
        <v>1.9256455466472764E-4</v>
      </c>
    </row>
    <row r="838" spans="2:30" x14ac:dyDescent="0.25">
      <c r="B838" s="41"/>
      <c r="C838" s="88" t="s">
        <v>720</v>
      </c>
      <c r="D838" s="30" t="s">
        <v>37</v>
      </c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>
        <v>5.96</v>
      </c>
      <c r="X838" s="31"/>
      <c r="Y838" s="31"/>
      <c r="Z838" s="13">
        <f t="shared" si="37"/>
        <v>5.96</v>
      </c>
      <c r="AA838" s="38"/>
      <c r="AB838" s="22">
        <f t="shared" si="38"/>
        <v>2.2156076173779473E-4</v>
      </c>
    </row>
    <row r="839" spans="2:30" x14ac:dyDescent="0.25">
      <c r="B839" s="36" t="s">
        <v>875</v>
      </c>
      <c r="C839" s="88" t="s">
        <v>721</v>
      </c>
      <c r="D839" s="30" t="s">
        <v>37</v>
      </c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>
        <v>5.18</v>
      </c>
      <c r="Y839" s="31"/>
      <c r="Z839" s="13">
        <f t="shared" si="37"/>
        <v>5.18</v>
      </c>
      <c r="AA839" s="38"/>
      <c r="AB839" s="22">
        <f t="shared" si="38"/>
        <v>1.9256455466472764E-4</v>
      </c>
    </row>
    <row r="840" spans="2:30" x14ac:dyDescent="0.25">
      <c r="B840" s="41"/>
      <c r="C840" s="88" t="s">
        <v>722</v>
      </c>
      <c r="D840" s="30" t="s">
        <v>37</v>
      </c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>
        <v>5.18</v>
      </c>
      <c r="Y840" s="31"/>
      <c r="Z840" s="13">
        <f t="shared" si="37"/>
        <v>5.18</v>
      </c>
      <c r="AA840" s="38"/>
      <c r="AB840" s="22">
        <f t="shared" si="38"/>
        <v>1.9256455466472764E-4</v>
      </c>
    </row>
    <row r="841" spans="2:30" ht="15.75" thickBot="1" x14ac:dyDescent="0.3">
      <c r="B841" s="41"/>
      <c r="C841" s="88" t="s">
        <v>723</v>
      </c>
      <c r="D841" s="30" t="s">
        <v>37</v>
      </c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>
        <v>5.96</v>
      </c>
      <c r="Y841" s="31"/>
      <c r="Z841" s="13">
        <f t="shared" si="37"/>
        <v>5.96</v>
      </c>
      <c r="AA841" s="43">
        <f>SUM(Z436:Z841)</f>
        <v>13533.18999999999</v>
      </c>
      <c r="AB841" s="22">
        <f>+Z841/$AA$877</f>
        <v>2.2156076173779473E-4</v>
      </c>
    </row>
    <row r="842" spans="2:30" ht="15.75" thickBot="1" x14ac:dyDescent="0.3">
      <c r="B842" s="42"/>
      <c r="C842" s="7" t="s">
        <v>29</v>
      </c>
      <c r="D842" s="8"/>
      <c r="E842" s="9">
        <f t="shared" ref="E842:Z842" si="39">SUM(E436:E841)</f>
        <v>548.85999999999979</v>
      </c>
      <c r="F842" s="9">
        <f t="shared" si="39"/>
        <v>576.53999999999974</v>
      </c>
      <c r="G842" s="9">
        <f t="shared" si="39"/>
        <v>581.48000000000025</v>
      </c>
      <c r="H842" s="9">
        <f t="shared" si="39"/>
        <v>581.48000000000025</v>
      </c>
      <c r="I842" s="9">
        <f t="shared" si="39"/>
        <v>344.64000000000004</v>
      </c>
      <c r="J842" s="9">
        <f t="shared" si="39"/>
        <v>567.78999999999985</v>
      </c>
      <c r="K842" s="9">
        <f t="shared" si="39"/>
        <v>587.3399999999998</v>
      </c>
      <c r="L842" s="9">
        <f t="shared" si="39"/>
        <v>906.6</v>
      </c>
      <c r="M842" s="9">
        <f t="shared" si="39"/>
        <v>906.6</v>
      </c>
      <c r="N842" s="9">
        <f t="shared" si="39"/>
        <v>906.6</v>
      </c>
      <c r="O842" s="9">
        <f t="shared" si="39"/>
        <v>906.6</v>
      </c>
      <c r="P842" s="9">
        <f t="shared" si="39"/>
        <v>906.6</v>
      </c>
      <c r="Q842" s="9">
        <f t="shared" si="39"/>
        <v>907.13</v>
      </c>
      <c r="R842" s="9">
        <f t="shared" si="39"/>
        <v>907.13</v>
      </c>
      <c r="S842" s="9">
        <f t="shared" si="39"/>
        <v>907.13</v>
      </c>
      <c r="T842" s="9">
        <f t="shared" si="39"/>
        <v>907.13</v>
      </c>
      <c r="U842" s="9">
        <f t="shared" si="39"/>
        <v>907.13</v>
      </c>
      <c r="V842" s="9">
        <f t="shared" si="39"/>
        <v>643.77</v>
      </c>
      <c r="W842" s="9">
        <f t="shared" si="39"/>
        <v>16.32</v>
      </c>
      <c r="X842" s="9">
        <f t="shared" si="39"/>
        <v>16.32</v>
      </c>
      <c r="Y842" s="9"/>
      <c r="Z842" s="14">
        <f t="shared" si="39"/>
        <v>13533.18999999999</v>
      </c>
      <c r="AA842" s="39"/>
      <c r="AB842" s="23">
        <f>SUM(AB436:AB841)</f>
        <v>0.50309125589636083</v>
      </c>
    </row>
    <row r="843" spans="2:30" ht="19.5" thickBot="1" x14ac:dyDescent="0.35">
      <c r="B843" s="163"/>
      <c r="C843" s="140" t="s">
        <v>25</v>
      </c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2"/>
    </row>
    <row r="844" spans="2:30" ht="15.6" customHeight="1" x14ac:dyDescent="0.25">
      <c r="B844" s="164"/>
      <c r="C844" s="143" t="s">
        <v>26</v>
      </c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5"/>
      <c r="Z844" s="149" t="s">
        <v>729</v>
      </c>
      <c r="AA844" s="149" t="s">
        <v>28</v>
      </c>
      <c r="AB844" s="151" t="s">
        <v>4</v>
      </c>
    </row>
    <row r="845" spans="2:30" ht="15.6" customHeight="1" thickBot="1" x14ac:dyDescent="0.3">
      <c r="B845" s="164"/>
      <c r="C845" s="146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8"/>
      <c r="Z845" s="150"/>
      <c r="AA845" s="150"/>
      <c r="AB845" s="152"/>
    </row>
    <row r="846" spans="2:30" ht="15.6" customHeight="1" x14ac:dyDescent="0.25">
      <c r="B846" s="164"/>
      <c r="C846" s="104" t="s">
        <v>730</v>
      </c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46">
        <v>229.97</v>
      </c>
      <c r="AA846" s="44">
        <f>+Z846</f>
        <v>229.97</v>
      </c>
      <c r="AB846" s="174">
        <f>SUM(AA846:AA850)</f>
        <v>1179.27</v>
      </c>
      <c r="AD846">
        <f>+Z846+Z403</f>
        <v>452.28999999999996</v>
      </c>
    </row>
    <row r="847" spans="2:30" ht="15.6" customHeight="1" x14ac:dyDescent="0.25">
      <c r="B847" s="164"/>
      <c r="C847" s="119" t="s">
        <v>731</v>
      </c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1"/>
      <c r="Z847" s="47">
        <v>155.38999999999999</v>
      </c>
      <c r="AA847" s="45">
        <f>+Z847</f>
        <v>155.38999999999999</v>
      </c>
      <c r="AB847" s="175"/>
      <c r="AD847">
        <f>+Z847+Z404</f>
        <v>257.96999999999997</v>
      </c>
    </row>
    <row r="848" spans="2:30" ht="15.6" customHeight="1" x14ac:dyDescent="0.25">
      <c r="B848" s="164"/>
      <c r="C848" s="119" t="s">
        <v>867</v>
      </c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1"/>
      <c r="Z848" s="48">
        <v>2.52</v>
      </c>
      <c r="AA848" s="45">
        <f>+Z848</f>
        <v>2.52</v>
      </c>
      <c r="AB848" s="175"/>
      <c r="AD848">
        <f>+Z848+Z405</f>
        <v>5.1899999999999995</v>
      </c>
    </row>
    <row r="849" spans="2:30" ht="15.6" customHeight="1" x14ac:dyDescent="0.25">
      <c r="B849" s="164"/>
      <c r="C849" s="116" t="s">
        <v>732</v>
      </c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8"/>
      <c r="Z849" s="49">
        <f>5.4+58.14+25.64</f>
        <v>89.18</v>
      </c>
      <c r="AA849" s="45">
        <f>+Z849</f>
        <v>89.18</v>
      </c>
      <c r="AB849" s="175"/>
      <c r="AD849">
        <f>+Z849+Z406</f>
        <v>162.69999999999999</v>
      </c>
    </row>
    <row r="850" spans="2:30" ht="15.6" customHeight="1" thickBot="1" x14ac:dyDescent="0.3">
      <c r="B850" s="164"/>
      <c r="C850" s="116" t="s">
        <v>876</v>
      </c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8"/>
      <c r="Z850" s="49">
        <v>702.21</v>
      </c>
      <c r="AA850" s="45">
        <f>+Z850</f>
        <v>702.21</v>
      </c>
      <c r="AB850" s="176"/>
      <c r="AD850">
        <f>+Z850+Z407</f>
        <v>1026.25</v>
      </c>
    </row>
    <row r="851" spans="2:30" ht="15.6" customHeight="1" x14ac:dyDescent="0.25">
      <c r="B851" s="164"/>
      <c r="C851" s="134" t="s">
        <v>27</v>
      </c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8" t="s">
        <v>28</v>
      </c>
      <c r="AA851" s="149" t="s">
        <v>28</v>
      </c>
      <c r="AB851" s="151" t="s">
        <v>4</v>
      </c>
    </row>
    <row r="852" spans="2:30" ht="15.75" thickBot="1" x14ac:dyDescent="0.3">
      <c r="B852" s="164"/>
      <c r="C852" s="136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9"/>
      <c r="AA852" s="150"/>
      <c r="AB852" s="152"/>
    </row>
    <row r="853" spans="2:30" x14ac:dyDescent="0.25">
      <c r="B853" s="164"/>
      <c r="C853" s="104" t="s">
        <v>109</v>
      </c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77">
        <v>4586.0600000000004</v>
      </c>
      <c r="AA853" s="77">
        <f>+Z853</f>
        <v>4586.0600000000004</v>
      </c>
      <c r="AB853" s="174">
        <f>SUM(AA853:AA872)</f>
        <v>7419.8199999999988</v>
      </c>
      <c r="AD853">
        <f t="shared" ref="AD853:AD872" si="40">+Z853+Z410</f>
        <v>10448.299999999999</v>
      </c>
    </row>
    <row r="854" spans="2:30" x14ac:dyDescent="0.25">
      <c r="B854" s="164"/>
      <c r="C854" s="116" t="s">
        <v>740</v>
      </c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8"/>
      <c r="Z854" s="78">
        <v>119.86</v>
      </c>
      <c r="AA854" s="79">
        <f t="shared" ref="AA854:AA856" si="41">+Z854</f>
        <v>119.86</v>
      </c>
      <c r="AB854" s="175"/>
      <c r="AD854">
        <f t="shared" si="40"/>
        <v>260.68</v>
      </c>
    </row>
    <row r="855" spans="2:30" x14ac:dyDescent="0.25">
      <c r="B855" s="164"/>
      <c r="C855" s="105" t="s">
        <v>739</v>
      </c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78">
        <v>97.24</v>
      </c>
      <c r="AA855" s="79">
        <f t="shared" si="41"/>
        <v>97.24</v>
      </c>
      <c r="AB855" s="175"/>
      <c r="AD855">
        <f t="shared" si="40"/>
        <v>188</v>
      </c>
    </row>
    <row r="856" spans="2:30" x14ac:dyDescent="0.25">
      <c r="B856" s="164"/>
      <c r="C856" s="119" t="s">
        <v>868</v>
      </c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1"/>
      <c r="Z856" s="78">
        <v>898.53</v>
      </c>
      <c r="AA856" s="79">
        <f t="shared" si="41"/>
        <v>898.53</v>
      </c>
      <c r="AB856" s="175"/>
      <c r="AD856">
        <f t="shared" si="40"/>
        <v>1899.4499999999998</v>
      </c>
    </row>
    <row r="857" spans="2:30" x14ac:dyDescent="0.25">
      <c r="B857" s="164"/>
      <c r="C857" s="116" t="s">
        <v>736</v>
      </c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8"/>
      <c r="Z857" s="79">
        <v>459.97</v>
      </c>
      <c r="AA857" s="79">
        <f t="shared" ref="AA857:AA872" si="42">+Z857</f>
        <v>459.97</v>
      </c>
      <c r="AB857" s="175"/>
      <c r="AD857">
        <f t="shared" si="40"/>
        <v>893.93000000000006</v>
      </c>
    </row>
    <row r="858" spans="2:30" x14ac:dyDescent="0.25">
      <c r="B858" s="164"/>
      <c r="C858" s="116" t="s">
        <v>741</v>
      </c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79">
        <v>0</v>
      </c>
      <c r="AA858" s="79">
        <f t="shared" si="42"/>
        <v>0</v>
      </c>
      <c r="AB858" s="175"/>
      <c r="AD858">
        <f t="shared" si="40"/>
        <v>318.02999999999997</v>
      </c>
    </row>
    <row r="859" spans="2:30" x14ac:dyDescent="0.25">
      <c r="B859" s="164"/>
      <c r="C859" s="116" t="s">
        <v>733</v>
      </c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79">
        <v>11.86</v>
      </c>
      <c r="AA859" s="79">
        <f t="shared" si="42"/>
        <v>11.86</v>
      </c>
      <c r="AB859" s="175"/>
      <c r="AD859">
        <f t="shared" si="40"/>
        <v>20.799999999999997</v>
      </c>
    </row>
    <row r="860" spans="2:30" x14ac:dyDescent="0.25">
      <c r="B860" s="164"/>
      <c r="C860" s="116" t="s">
        <v>734</v>
      </c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79">
        <v>81.73</v>
      </c>
      <c r="AA860" s="79">
        <f t="shared" si="42"/>
        <v>81.73</v>
      </c>
      <c r="AB860" s="175"/>
      <c r="AD860">
        <f t="shared" si="40"/>
        <v>161.07</v>
      </c>
    </row>
    <row r="861" spans="2:30" x14ac:dyDescent="0.25">
      <c r="B861" s="164"/>
      <c r="C861" s="116" t="s">
        <v>735</v>
      </c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8"/>
      <c r="Z861" s="79">
        <v>60.36</v>
      </c>
      <c r="AA861" s="79">
        <f t="shared" si="42"/>
        <v>60.36</v>
      </c>
      <c r="AB861" s="175"/>
      <c r="AD861">
        <f t="shared" si="40"/>
        <v>156.82999999999998</v>
      </c>
    </row>
    <row r="862" spans="2:30" x14ac:dyDescent="0.25">
      <c r="B862" s="164"/>
      <c r="C862" s="116" t="s">
        <v>861</v>
      </c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8"/>
      <c r="Z862" s="79">
        <f>52.44+53.22</f>
        <v>105.66</v>
      </c>
      <c r="AA862" s="79">
        <f t="shared" si="42"/>
        <v>105.66</v>
      </c>
      <c r="AB862" s="175"/>
      <c r="AD862">
        <f t="shared" si="40"/>
        <v>165.51</v>
      </c>
    </row>
    <row r="863" spans="2:30" x14ac:dyDescent="0.25">
      <c r="B863" s="164"/>
      <c r="C863" s="116" t="s">
        <v>862</v>
      </c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8"/>
      <c r="Z863" s="79">
        <v>39.72</v>
      </c>
      <c r="AA863" s="79">
        <f t="shared" si="42"/>
        <v>39.72</v>
      </c>
      <c r="AB863" s="175"/>
      <c r="AD863">
        <f t="shared" si="40"/>
        <v>108.96</v>
      </c>
    </row>
    <row r="864" spans="2:30" x14ac:dyDescent="0.25">
      <c r="B864" s="164"/>
      <c r="C864" s="116" t="s">
        <v>863</v>
      </c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8"/>
      <c r="Z864" s="79">
        <v>65.28</v>
      </c>
      <c r="AA864" s="79">
        <f t="shared" si="42"/>
        <v>65.28</v>
      </c>
      <c r="AB864" s="175"/>
      <c r="AD864">
        <f t="shared" si="40"/>
        <v>65.28</v>
      </c>
    </row>
    <row r="865" spans="2:30" x14ac:dyDescent="0.25">
      <c r="B865" s="164"/>
      <c r="C865" s="116" t="s">
        <v>864</v>
      </c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8"/>
      <c r="Z865" s="79">
        <v>55.57</v>
      </c>
      <c r="AA865" s="79">
        <f t="shared" si="42"/>
        <v>55.57</v>
      </c>
      <c r="AB865" s="175"/>
      <c r="AD865">
        <f t="shared" si="40"/>
        <v>149.47999999999999</v>
      </c>
    </row>
    <row r="866" spans="2:30" x14ac:dyDescent="0.25">
      <c r="B866" s="164"/>
      <c r="C866" s="116" t="s">
        <v>865</v>
      </c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8"/>
      <c r="Z866" s="79">
        <v>37.61</v>
      </c>
      <c r="AA866" s="79">
        <f t="shared" si="42"/>
        <v>37.61</v>
      </c>
      <c r="AB866" s="175"/>
      <c r="AD866">
        <f t="shared" si="40"/>
        <v>67.09</v>
      </c>
    </row>
    <row r="867" spans="2:30" x14ac:dyDescent="0.25">
      <c r="B867" s="164"/>
      <c r="C867" s="116" t="s">
        <v>866</v>
      </c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8"/>
      <c r="Z867" s="79">
        <v>260.39</v>
      </c>
      <c r="AA867" s="79">
        <f t="shared" si="42"/>
        <v>260.39</v>
      </c>
      <c r="AB867" s="175"/>
      <c r="AD867">
        <f t="shared" si="40"/>
        <v>514.24</v>
      </c>
    </row>
    <row r="868" spans="2:30" x14ac:dyDescent="0.25">
      <c r="B868" s="164"/>
      <c r="C868" s="116" t="s">
        <v>870</v>
      </c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8"/>
      <c r="Z868" s="79">
        <v>40.51</v>
      </c>
      <c r="AA868" s="79">
        <f t="shared" si="42"/>
        <v>40.51</v>
      </c>
      <c r="AB868" s="175"/>
      <c r="AD868">
        <f t="shared" si="40"/>
        <v>80.06</v>
      </c>
    </row>
    <row r="869" spans="2:30" x14ac:dyDescent="0.25">
      <c r="B869" s="164"/>
      <c r="C869" s="116" t="s">
        <v>869</v>
      </c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8"/>
      <c r="Z869" s="79">
        <v>58.4</v>
      </c>
      <c r="AA869" s="79">
        <f t="shared" si="42"/>
        <v>58.4</v>
      </c>
      <c r="AB869" s="175"/>
      <c r="AD869">
        <f t="shared" si="40"/>
        <v>107.74000000000001</v>
      </c>
    </row>
    <row r="870" spans="2:30" x14ac:dyDescent="0.25">
      <c r="B870" s="164"/>
      <c r="C870" s="116" t="s">
        <v>737</v>
      </c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8"/>
      <c r="Z870" s="79">
        <v>92.43</v>
      </c>
      <c r="AA870" s="79">
        <f t="shared" si="42"/>
        <v>92.43</v>
      </c>
      <c r="AB870" s="175"/>
      <c r="AD870">
        <f t="shared" si="40"/>
        <v>222.92000000000002</v>
      </c>
    </row>
    <row r="871" spans="2:30" x14ac:dyDescent="0.25">
      <c r="B871" s="164"/>
      <c r="C871" s="119" t="s">
        <v>871</v>
      </c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1"/>
      <c r="Z871" s="79">
        <v>49.31</v>
      </c>
      <c r="AA871" s="79">
        <f t="shared" si="42"/>
        <v>49.31</v>
      </c>
      <c r="AB871" s="175"/>
      <c r="AD871">
        <f t="shared" si="40"/>
        <v>91.84</v>
      </c>
    </row>
    <row r="872" spans="2:30" ht="15.75" thickBot="1" x14ac:dyDescent="0.3">
      <c r="B872" s="165"/>
      <c r="C872" s="166" t="s">
        <v>738</v>
      </c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8"/>
      <c r="Z872" s="80">
        <v>299.33</v>
      </c>
      <c r="AA872" s="80">
        <f t="shared" si="42"/>
        <v>299.33</v>
      </c>
      <c r="AB872" s="176"/>
      <c r="AD872">
        <f t="shared" si="40"/>
        <v>711.39</v>
      </c>
    </row>
    <row r="874" spans="2:30" ht="15.95" hidden="1" customHeight="1" thickBot="1" x14ac:dyDescent="0.3">
      <c r="B874" s="149" t="s">
        <v>108</v>
      </c>
      <c r="C874" s="96" t="s">
        <v>0</v>
      </c>
      <c r="D874" s="99" t="s">
        <v>1</v>
      </c>
      <c r="E874" s="102" t="s">
        <v>2</v>
      </c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4" t="s">
        <v>3</v>
      </c>
      <c r="AA874" s="107" t="s">
        <v>4</v>
      </c>
      <c r="AB874" s="94" t="s">
        <v>5</v>
      </c>
    </row>
    <row r="875" spans="2:30" ht="15" hidden="1" customHeight="1" thickBot="1" x14ac:dyDescent="0.3">
      <c r="B875" s="155"/>
      <c r="C875" s="97"/>
      <c r="D875" s="100"/>
      <c r="E875" s="50" t="s">
        <v>30</v>
      </c>
      <c r="F875" s="51" t="s">
        <v>31</v>
      </c>
      <c r="G875" s="51" t="s">
        <v>32</v>
      </c>
      <c r="H875" s="51" t="s">
        <v>33</v>
      </c>
      <c r="I875" s="51" t="s">
        <v>34</v>
      </c>
      <c r="J875" s="51" t="s">
        <v>35</v>
      </c>
      <c r="K875" s="51" t="s">
        <v>36</v>
      </c>
      <c r="L875" s="51" t="s">
        <v>38</v>
      </c>
      <c r="M875" s="51" t="s">
        <v>39</v>
      </c>
      <c r="N875" s="51" t="s">
        <v>40</v>
      </c>
      <c r="O875" s="51" t="s">
        <v>41</v>
      </c>
      <c r="P875" s="51" t="s">
        <v>42</v>
      </c>
      <c r="Q875" s="51" t="s">
        <v>43</v>
      </c>
      <c r="R875" s="51" t="s">
        <v>44</v>
      </c>
      <c r="S875" s="51" t="s">
        <v>45</v>
      </c>
      <c r="T875" s="51" t="s">
        <v>46</v>
      </c>
      <c r="U875" s="51" t="s">
        <v>47</v>
      </c>
      <c r="V875" s="51" t="s">
        <v>724</v>
      </c>
      <c r="W875" s="51" t="s">
        <v>725</v>
      </c>
      <c r="X875" s="51" t="s">
        <v>726</v>
      </c>
      <c r="Y875" s="51" t="s">
        <v>727</v>
      </c>
      <c r="Z875" s="105"/>
      <c r="AA875" s="108"/>
      <c r="AB875" s="95"/>
    </row>
    <row r="876" spans="2:30" ht="18" hidden="1" thickBot="1" x14ac:dyDescent="0.3">
      <c r="B876" s="155"/>
      <c r="C876" s="98"/>
      <c r="D876" s="101"/>
      <c r="E876" s="4" t="s">
        <v>877</v>
      </c>
      <c r="F876" s="5" t="s">
        <v>877</v>
      </c>
      <c r="G876" s="5" t="s">
        <v>877</v>
      </c>
      <c r="H876" s="5" t="s">
        <v>877</v>
      </c>
      <c r="I876" s="5" t="s">
        <v>877</v>
      </c>
      <c r="J876" s="5" t="s">
        <v>877</v>
      </c>
      <c r="K876" s="5" t="s">
        <v>877</v>
      </c>
      <c r="L876" s="5" t="s">
        <v>877</v>
      </c>
      <c r="M876" s="5" t="s">
        <v>877</v>
      </c>
      <c r="N876" s="5" t="s">
        <v>877</v>
      </c>
      <c r="O876" s="5" t="s">
        <v>877</v>
      </c>
      <c r="P876" s="5" t="s">
        <v>877</v>
      </c>
      <c r="Q876" s="5" t="s">
        <v>877</v>
      </c>
      <c r="R876" s="5" t="s">
        <v>877</v>
      </c>
      <c r="S876" s="5" t="s">
        <v>877</v>
      </c>
      <c r="T876" s="5" t="s">
        <v>877</v>
      </c>
      <c r="U876" s="5" t="s">
        <v>877</v>
      </c>
      <c r="V876" s="5" t="s">
        <v>877</v>
      </c>
      <c r="W876" s="5" t="s">
        <v>877</v>
      </c>
      <c r="X876" s="5" t="s">
        <v>877</v>
      </c>
      <c r="Y876" s="5" t="s">
        <v>877</v>
      </c>
      <c r="Z876" s="106"/>
      <c r="AA876" s="109"/>
      <c r="AB876" s="21" t="s">
        <v>6</v>
      </c>
    </row>
    <row r="877" spans="2:30" ht="15.75" hidden="1" thickBot="1" x14ac:dyDescent="0.3">
      <c r="B877" s="155"/>
      <c r="C877" s="52" t="s">
        <v>50</v>
      </c>
      <c r="D877" s="53" t="s">
        <v>51</v>
      </c>
      <c r="E877" s="51">
        <f t="shared" ref="E877:Y877" si="43">+E399+E842</f>
        <v>1119.07</v>
      </c>
      <c r="F877" s="51">
        <f t="shared" si="43"/>
        <v>1119.5199999999998</v>
      </c>
      <c r="G877" s="51">
        <f t="shared" si="43"/>
        <v>1133.1600000000003</v>
      </c>
      <c r="H877" s="51">
        <f t="shared" si="43"/>
        <v>1134.1000000000004</v>
      </c>
      <c r="I877" s="51">
        <f t="shared" si="43"/>
        <v>643.63000000000011</v>
      </c>
      <c r="J877" s="51">
        <f t="shared" si="43"/>
        <v>1118.0599999999995</v>
      </c>
      <c r="K877" s="51">
        <f t="shared" si="43"/>
        <v>1197.4199999999996</v>
      </c>
      <c r="L877" s="51">
        <f t="shared" si="43"/>
        <v>1902.6100000000001</v>
      </c>
      <c r="M877" s="51">
        <f t="shared" si="43"/>
        <v>1902.6100000000001</v>
      </c>
      <c r="N877" s="51">
        <f t="shared" si="43"/>
        <v>1902.6100000000001</v>
      </c>
      <c r="O877" s="51">
        <f t="shared" si="43"/>
        <v>1902.6100000000001</v>
      </c>
      <c r="P877" s="51">
        <f t="shared" si="43"/>
        <v>1902.6100000000001</v>
      </c>
      <c r="Q877" s="51">
        <f t="shared" si="43"/>
        <v>1903.1400000000003</v>
      </c>
      <c r="R877" s="51">
        <f t="shared" si="43"/>
        <v>1903.1400000000003</v>
      </c>
      <c r="S877" s="51">
        <f t="shared" si="43"/>
        <v>1903.1400000000003</v>
      </c>
      <c r="T877" s="51">
        <f>+T399+T842</f>
        <v>1903.1400000000003</v>
      </c>
      <c r="U877" s="51">
        <f t="shared" si="43"/>
        <v>1633.0900000000001</v>
      </c>
      <c r="V877" s="51">
        <f t="shared" si="43"/>
        <v>643.77</v>
      </c>
      <c r="W877" s="51">
        <f t="shared" si="43"/>
        <v>16.32</v>
      </c>
      <c r="X877" s="51">
        <f t="shared" si="43"/>
        <v>16.32</v>
      </c>
      <c r="Y877" s="51">
        <f t="shared" si="43"/>
        <v>0</v>
      </c>
      <c r="Z877" s="16">
        <f>SUM(E877:Y877)</f>
        <v>26900.07</v>
      </c>
      <c r="AA877" s="16">
        <f>+Z877</f>
        <v>26900.07</v>
      </c>
      <c r="AB877" s="54">
        <f>+AB842+AB399</f>
        <v>1.0000000000000004</v>
      </c>
    </row>
    <row r="878" spans="2:30" ht="15.75" hidden="1" thickBot="1" x14ac:dyDescent="0.3">
      <c r="B878" s="155"/>
      <c r="C878" s="162" t="s">
        <v>26</v>
      </c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26">
        <f>+AB403+AB846</f>
        <v>1904.4</v>
      </c>
      <c r="AA878" s="18">
        <f t="shared" ref="AA878:AA879" si="44">+Z878</f>
        <v>1904.4</v>
      </c>
      <c r="AB878" s="55"/>
    </row>
    <row r="879" spans="2:30" ht="15.75" hidden="1" thickBot="1" x14ac:dyDescent="0.3">
      <c r="B879" s="155"/>
      <c r="C879" s="162" t="s">
        <v>27</v>
      </c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7">
        <f>+AB410+AB853</f>
        <v>16631.599999999999</v>
      </c>
      <c r="AA879" s="16">
        <f t="shared" si="44"/>
        <v>16631.599999999999</v>
      </c>
      <c r="AB879" s="56"/>
    </row>
    <row r="880" spans="2:30" ht="15.75" hidden="1" thickBot="1" x14ac:dyDescent="0.3">
      <c r="B880" s="155"/>
      <c r="C880" s="57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9"/>
    </row>
    <row r="881" spans="2:28" ht="15.75" hidden="1" thickBot="1" x14ac:dyDescent="0.3">
      <c r="B881" s="155"/>
      <c r="C881" s="156" t="s">
        <v>52</v>
      </c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60">
        <v>3274.82</v>
      </c>
      <c r="AB881" s="61">
        <v>1</v>
      </c>
    </row>
    <row r="882" spans="2:28" ht="15.75" hidden="1" thickBot="1" x14ac:dyDescent="0.3">
      <c r="B882" s="155"/>
      <c r="C882" s="158" t="s">
        <v>53</v>
      </c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60">
        <v>2421.6799999999998</v>
      </c>
      <c r="AB882" s="62">
        <f>AA882/AA881</f>
        <v>0.73948491825504903</v>
      </c>
    </row>
    <row r="883" spans="2:28" ht="15.75" hidden="1" thickBot="1" x14ac:dyDescent="0.3">
      <c r="B883" s="150"/>
      <c r="C883" s="160" t="s">
        <v>54</v>
      </c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63">
        <f>+AA877+AA878+AA879</f>
        <v>45436.07</v>
      </c>
      <c r="AB883" s="33">
        <f>+AA883</f>
        <v>45436.07</v>
      </c>
    </row>
    <row r="884" spans="2:28" hidden="1" x14ac:dyDescent="0.25"/>
    <row r="886" spans="2:28" x14ac:dyDescent="0.25">
      <c r="Z886" s="179">
        <v>20000000</v>
      </c>
      <c r="AA886" s="178">
        <f>AA841+AB846+AB853</f>
        <v>22132.279999999988</v>
      </c>
      <c r="AB886" s="20" t="s">
        <v>879</v>
      </c>
    </row>
    <row r="887" spans="2:28" x14ac:dyDescent="0.25">
      <c r="AA887" s="180">
        <f>Z886/AA886</f>
        <v>903.65746321662346</v>
      </c>
    </row>
  </sheetData>
  <mergeCells count="100">
    <mergeCell ref="AB853:AB872"/>
    <mergeCell ref="AA851:AA852"/>
    <mergeCell ref="C846:Y846"/>
    <mergeCell ref="C847:Y847"/>
    <mergeCell ref="C862:Y862"/>
    <mergeCell ref="C863:Y863"/>
    <mergeCell ref="C851:Y852"/>
    <mergeCell ref="C869:Y869"/>
    <mergeCell ref="C868:Y868"/>
    <mergeCell ref="AB846:AB850"/>
    <mergeCell ref="C855:Y855"/>
    <mergeCell ref="C856:Y856"/>
    <mergeCell ref="AB410:AB429"/>
    <mergeCell ref="C420:Y420"/>
    <mergeCell ref="C425:Y425"/>
    <mergeCell ref="C426:Y426"/>
    <mergeCell ref="C414:Y414"/>
    <mergeCell ref="C415:Y415"/>
    <mergeCell ref="C410:Y410"/>
    <mergeCell ref="B1:AB1"/>
    <mergeCell ref="Z3:Z5"/>
    <mergeCell ref="AB3:AB4"/>
    <mergeCell ref="AA3:AA5"/>
    <mergeCell ref="Z408:Z409"/>
    <mergeCell ref="C2:AB2"/>
    <mergeCell ref="C400:AB400"/>
    <mergeCell ref="AB408:AB409"/>
    <mergeCell ref="AB401:AB402"/>
    <mergeCell ref="C401:Y402"/>
    <mergeCell ref="AA401:AA402"/>
    <mergeCell ref="Z401:Z402"/>
    <mergeCell ref="C407:Y407"/>
    <mergeCell ref="AB403:AB407"/>
    <mergeCell ref="AA408:AA409"/>
    <mergeCell ref="B400:B429"/>
    <mergeCell ref="B843:B872"/>
    <mergeCell ref="C864:Y864"/>
    <mergeCell ref="C865:Y865"/>
    <mergeCell ref="C866:Y866"/>
    <mergeCell ref="C867:Y867"/>
    <mergeCell ref="C870:Y870"/>
    <mergeCell ref="C871:Y871"/>
    <mergeCell ref="C872:Y872"/>
    <mergeCell ref="C858:Y858"/>
    <mergeCell ref="C861:Y861"/>
    <mergeCell ref="C854:Y854"/>
    <mergeCell ref="C853:Y853"/>
    <mergeCell ref="C850:Y850"/>
    <mergeCell ref="C859:Y859"/>
    <mergeCell ref="C860:Y860"/>
    <mergeCell ref="C857:Y857"/>
    <mergeCell ref="B874:B883"/>
    <mergeCell ref="C881:Z881"/>
    <mergeCell ref="C882:Z882"/>
    <mergeCell ref="C883:Z883"/>
    <mergeCell ref="C878:Y878"/>
    <mergeCell ref="C879:Y879"/>
    <mergeCell ref="AA433:AA435"/>
    <mergeCell ref="C408:Y409"/>
    <mergeCell ref="Z851:Z852"/>
    <mergeCell ref="C843:AB843"/>
    <mergeCell ref="C844:Y845"/>
    <mergeCell ref="Z844:Z845"/>
    <mergeCell ref="C849:Y849"/>
    <mergeCell ref="C412:Y412"/>
    <mergeCell ref="C413:Y413"/>
    <mergeCell ref="AB851:AB852"/>
    <mergeCell ref="AA844:AA845"/>
    <mergeCell ref="AB844:AB845"/>
    <mergeCell ref="C432:AB432"/>
    <mergeCell ref="AB433:AB434"/>
    <mergeCell ref="C411:Y411"/>
    <mergeCell ref="C433:C435"/>
    <mergeCell ref="C405:Y405"/>
    <mergeCell ref="C848:Y848"/>
    <mergeCell ref="D433:D435"/>
    <mergeCell ref="E433:Y433"/>
    <mergeCell ref="Z433:Z435"/>
    <mergeCell ref="C3:C5"/>
    <mergeCell ref="D3:D5"/>
    <mergeCell ref="C427:Y427"/>
    <mergeCell ref="C428:Y428"/>
    <mergeCell ref="C429:Y429"/>
    <mergeCell ref="C422:Y422"/>
    <mergeCell ref="C424:Y424"/>
    <mergeCell ref="C423:Y423"/>
    <mergeCell ref="C419:Y419"/>
    <mergeCell ref="C404:Y404"/>
    <mergeCell ref="C406:Y406"/>
    <mergeCell ref="C416:Y416"/>
    <mergeCell ref="C417:Y417"/>
    <mergeCell ref="C418:Y418"/>
    <mergeCell ref="C403:Y403"/>
    <mergeCell ref="C421:Y421"/>
    <mergeCell ref="AB874:AB875"/>
    <mergeCell ref="C874:C876"/>
    <mergeCell ref="D874:D876"/>
    <mergeCell ref="E874:Y874"/>
    <mergeCell ref="Z874:Z876"/>
    <mergeCell ref="AA874:AA876"/>
  </mergeCells>
  <pageMargins left="0.25" right="0.25" top="0.75" bottom="0.75" header="0.3" footer="0.3"/>
  <pageSetup paperSize="9" scale="26" fitToHeight="0" orientation="portrait" r:id="rId1"/>
  <rowBreaks count="7" manualBreakCount="7">
    <brk id="107" min="1" max="27" man="1"/>
    <brk id="216" min="1" max="27" man="1"/>
    <brk id="323" min="1" max="27" man="1"/>
    <brk id="430" max="16383" man="1"/>
    <brk id="542" min="1" max="27" man="1"/>
    <brk id="655" min="1" max="27" man="1"/>
    <brk id="769" min="1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fAstudillo</dc:creator>
  <cp:lastModifiedBy>Pablo H. Pereira Magnere</cp:lastModifiedBy>
  <cp:lastPrinted>2018-08-01T19:18:53Z</cp:lastPrinted>
  <dcterms:created xsi:type="dcterms:W3CDTF">2016-11-14T20:46:04Z</dcterms:created>
  <dcterms:modified xsi:type="dcterms:W3CDTF">2026-03-18T19:16:34Z</dcterms:modified>
</cp:coreProperties>
</file>