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dminvenegasnexia-my.sharepoint.com/personal/nalfaro_venegasnexia_com/Documents/Documentos 1/Norman Personales/Bemus/Restobares/"/>
    </mc:Choice>
  </mc:AlternateContent>
  <xr:revisionPtr revIDLastSave="16" documentId="11_AA4E07DFD57EE83EE022FCD55DEB4E3DEC67CE21" xr6:coauthVersionLast="47" xr6:coauthVersionMax="47" xr10:uidLastSave="{E723C115-9E94-4350-8D80-847308B479B2}"/>
  <bookViews>
    <workbookView xWindow="-108" yWindow="-108" windowWidth="23256" windowHeight="12456" xr2:uid="{00000000-000D-0000-FFFF-FFFF00000000}"/>
  </bookViews>
  <sheets>
    <sheet name="Menu Engineer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B26" i="1"/>
  <c r="F22" i="1"/>
  <c r="E7" i="1"/>
  <c r="E6" i="1"/>
  <c r="E5" i="1"/>
  <c r="G6" i="1" l="1"/>
  <c r="G5" i="1"/>
  <c r="G7" i="1"/>
</calcChain>
</file>

<file path=xl/sharedStrings.xml><?xml version="1.0" encoding="utf-8"?>
<sst xmlns="http://schemas.openxmlformats.org/spreadsheetml/2006/main" count="38" uniqueCount="38">
  <si>
    <t>ANÁLISIS DE MENU ENGINEERING</t>
  </si>
  <si>
    <t>Identifique sus ESTRELLAS, CABALLOS, ENIGMAS y PERROS para optimizar su menú</t>
  </si>
  <si>
    <t>ITEM MENÚ</t>
  </si>
  <si>
    <t>CATEGORÍA</t>
  </si>
  <si>
    <t>PRECIO VENTA (₡)</t>
  </si>
  <si>
    <t>COSTO (₡)</t>
  </si>
  <si>
    <t>MARGEN (₡)</t>
  </si>
  <si>
    <t>VENTAS (cantidad)</t>
  </si>
  <si>
    <t>% POPULARIDAD</t>
  </si>
  <si>
    <t>CLASIF. POP</t>
  </si>
  <si>
    <t>CLASIF. MARGEN</t>
  </si>
  <si>
    <t>CATEGORÍA ME</t>
  </si>
  <si>
    <t>ACCIÓN</t>
  </si>
  <si>
    <t>Hamburguesa Clásica</t>
  </si>
  <si>
    <t>Platos</t>
  </si>
  <si>
    <t>Alitas BBQ</t>
  </si>
  <si>
    <t>Entradas</t>
  </si>
  <si>
    <t>Mojito</t>
  </si>
  <si>
    <t>Bebidas</t>
  </si>
  <si>
    <t>TOTAL VENTAS (suma):</t>
  </si>
  <si>
    <t>CÁLCULOS PARA CLASIFICACIÓN:</t>
  </si>
  <si>
    <t>Umbral de Popularidad:</t>
  </si>
  <si>
    <t>→ Items con % &gt; umbral = ALTA popularidad</t>
  </si>
  <si>
    <t>Margen Promedio:</t>
  </si>
  <si>
    <t>→ Items con margen &gt; promedio = ALTA rentabilidad</t>
  </si>
  <si>
    <t>CLASIFICACIÓN MENU ENGINEERING:</t>
  </si>
  <si>
    <t>⭐ ESTRELLA</t>
  </si>
  <si>
    <t>Alta popularidad + Alto margen</t>
  </si>
  <si>
    <t>→ Destacar en el menú, mantener calidad</t>
  </si>
  <si>
    <t>🐴 CABALLO</t>
  </si>
  <si>
    <t>Alta popularidad + Bajo margen</t>
  </si>
  <si>
    <t>→ Aumentar precio o reducir costo</t>
  </si>
  <si>
    <t>🧩 ENIGMA</t>
  </si>
  <si>
    <t>Baja popularidad + Alto margen</t>
  </si>
  <si>
    <t>→ Mejorar visibilidad, promover</t>
  </si>
  <si>
    <t>🐕 PERRO</t>
  </si>
  <si>
    <t>Baja popularidad + Bajo margen</t>
  </si>
  <si>
    <t>→ Eliminar del menú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</si>
</sst>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₡#,##0"/>
    <numFmt numFmtId="165" formatCode="0.0%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name val="Calibri"/>
    </font>
    <font>
      <b/>
      <sz val="12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0"/>
      <name val="Calibri"/>
    </font>
    <font>
      <sz val="9"/>
      <name val="Calibri"/>
    </font>
    <font>
      <i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4" fillId="0" borderId="0" xfId="0" applyFont="1"/>
    <xf numFmtId="0" fontId="4" fillId="4" borderId="0" xfId="0" applyFont="1" applyFill="1"/>
    <xf numFmtId="165" fontId="0" fillId="0" borderId="0" xfId="0" applyNumberFormat="1"/>
    <xf numFmtId="164" fontId="0" fillId="0" borderId="0" xfId="0" applyNumberFormat="1"/>
    <xf numFmtId="0" fontId="7" fillId="0" borderId="0" xfId="0" applyFont="1" applyAlignment="1">
      <alignment horizontal="left"/>
    </xf>
    <xf numFmtId="0" fontId="0" fillId="0" borderId="0" xfId="0"/>
    <xf numFmtId="0" fontId="8" fillId="0" borderId="0" xfId="0" applyFont="1"/>
    <xf numFmtId="0" fontId="9" fillId="0" borderId="0" xfId="0" applyFont="1"/>
    <xf numFmtId="0" fontId="5" fillId="5" borderId="0" xfId="0" applyFont="1" applyFill="1"/>
    <xf numFmtId="0" fontId="2" fillId="0" borderId="0" xfId="0" applyFont="1" applyAlignment="1">
      <alignment horizontal="center"/>
    </xf>
    <xf numFmtId="0" fontId="6" fillId="0" borderId="0" xfId="0" applyFon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B25" sqref="B25"/>
    </sheetView>
  </sheetViews>
  <sheetFormatPr baseColWidth="10" defaultColWidth="8.88671875" defaultRowHeight="14.4" x14ac:dyDescent="0.3"/>
  <cols>
    <col min="1" max="1" width="20" customWidth="1"/>
    <col min="2" max="2" width="12" customWidth="1"/>
    <col min="3" max="3" width="14" customWidth="1"/>
    <col min="4" max="6" width="12" customWidth="1"/>
    <col min="7" max="7" width="13" customWidth="1"/>
    <col min="8" max="8" width="11" customWidth="1"/>
    <col min="9" max="10" width="13" customWidth="1"/>
    <col min="11" max="11" width="20" customWidth="1"/>
  </cols>
  <sheetData>
    <row r="1" spans="1:11" ht="25.05" customHeight="1" x14ac:dyDescent="0.3">
      <c r="A1" s="16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3">
      <c r="A2" s="14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4" spans="1:11" ht="46.8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2" t="s">
        <v>13</v>
      </c>
      <c r="B5" s="2" t="s">
        <v>14</v>
      </c>
      <c r="C5" s="3">
        <v>8500</v>
      </c>
      <c r="D5" s="3">
        <v>2800</v>
      </c>
      <c r="E5" s="3">
        <f t="shared" ref="E5:E19" si="0">C5-D5</f>
        <v>5700</v>
      </c>
      <c r="F5" s="2">
        <v>145</v>
      </c>
      <c r="G5" s="4">
        <f t="shared" ref="G5:G19" si="1">F5/$F$22</f>
        <v>0.31049250535331907</v>
      </c>
      <c r="H5" s="2"/>
      <c r="I5" s="2"/>
      <c r="J5" s="2"/>
      <c r="K5" s="2"/>
    </row>
    <row r="6" spans="1:11" x14ac:dyDescent="0.3">
      <c r="A6" s="2" t="s">
        <v>15</v>
      </c>
      <c r="B6" s="2" t="s">
        <v>16</v>
      </c>
      <c r="C6" s="3">
        <v>9500</v>
      </c>
      <c r="D6" s="3">
        <v>3200</v>
      </c>
      <c r="E6" s="3">
        <f t="shared" si="0"/>
        <v>6300</v>
      </c>
      <c r="F6" s="2">
        <v>92</v>
      </c>
      <c r="G6" s="4">
        <f t="shared" si="1"/>
        <v>0.19700214132762311</v>
      </c>
      <c r="H6" s="2"/>
      <c r="I6" s="2"/>
      <c r="J6" s="2"/>
      <c r="K6" s="2"/>
    </row>
    <row r="7" spans="1:11" x14ac:dyDescent="0.3">
      <c r="A7" s="2" t="s">
        <v>17</v>
      </c>
      <c r="B7" s="2" t="s">
        <v>18</v>
      </c>
      <c r="C7" s="3">
        <v>7500</v>
      </c>
      <c r="D7" s="3">
        <v>1350</v>
      </c>
      <c r="E7" s="3">
        <f t="shared" si="0"/>
        <v>6150</v>
      </c>
      <c r="F7" s="2">
        <v>230</v>
      </c>
      <c r="G7" s="4">
        <f t="shared" si="1"/>
        <v>0.49250535331905781</v>
      </c>
      <c r="H7" s="2"/>
      <c r="I7" s="2"/>
      <c r="J7" s="2"/>
      <c r="K7" s="2"/>
    </row>
    <row r="8" spans="1:11" x14ac:dyDescent="0.3">
      <c r="A8" s="2"/>
      <c r="B8" s="2"/>
      <c r="C8" s="3"/>
      <c r="D8" s="3"/>
      <c r="E8" s="3"/>
      <c r="F8" s="2"/>
      <c r="G8" s="4"/>
      <c r="H8" s="2"/>
      <c r="I8" s="2"/>
      <c r="J8" s="2"/>
      <c r="K8" s="2"/>
    </row>
    <row r="9" spans="1:11" x14ac:dyDescent="0.3">
      <c r="A9" s="2"/>
      <c r="B9" s="2"/>
      <c r="C9" s="3"/>
      <c r="D9" s="3"/>
      <c r="E9" s="3"/>
      <c r="F9" s="2"/>
      <c r="G9" s="4"/>
      <c r="H9" s="2"/>
      <c r="I9" s="2"/>
      <c r="J9" s="2"/>
      <c r="K9" s="2"/>
    </row>
    <row r="10" spans="1:11" x14ac:dyDescent="0.3">
      <c r="A10" s="2"/>
      <c r="B10" s="2"/>
      <c r="C10" s="3"/>
      <c r="D10" s="3"/>
      <c r="E10" s="3"/>
      <c r="F10" s="2"/>
      <c r="G10" s="4"/>
      <c r="H10" s="2"/>
      <c r="I10" s="2"/>
      <c r="J10" s="2"/>
      <c r="K10" s="2"/>
    </row>
    <row r="11" spans="1:11" x14ac:dyDescent="0.3">
      <c r="A11" s="2"/>
      <c r="B11" s="2"/>
      <c r="C11" s="3"/>
      <c r="D11" s="3"/>
      <c r="E11" s="3"/>
      <c r="F11" s="2"/>
      <c r="G11" s="4"/>
      <c r="H11" s="2"/>
      <c r="I11" s="2"/>
      <c r="J11" s="2"/>
      <c r="K11" s="2"/>
    </row>
    <row r="12" spans="1:11" x14ac:dyDescent="0.3">
      <c r="A12" s="2"/>
      <c r="B12" s="2"/>
      <c r="C12" s="3"/>
      <c r="D12" s="3"/>
      <c r="E12" s="3"/>
      <c r="F12" s="2"/>
      <c r="G12" s="4"/>
      <c r="H12" s="2"/>
      <c r="I12" s="2"/>
      <c r="J12" s="2"/>
      <c r="K12" s="2"/>
    </row>
    <row r="13" spans="1:11" x14ac:dyDescent="0.3">
      <c r="A13" s="2"/>
      <c r="B13" s="2"/>
      <c r="C13" s="3"/>
      <c r="D13" s="3"/>
      <c r="E13" s="3"/>
      <c r="F13" s="2"/>
      <c r="G13" s="4"/>
      <c r="H13" s="2"/>
      <c r="I13" s="2"/>
      <c r="J13" s="2"/>
      <c r="K13" s="2"/>
    </row>
    <row r="14" spans="1:11" x14ac:dyDescent="0.3">
      <c r="A14" s="2"/>
      <c r="B14" s="2"/>
      <c r="C14" s="3"/>
      <c r="D14" s="3"/>
      <c r="E14" s="3"/>
      <c r="F14" s="2"/>
      <c r="G14" s="4"/>
      <c r="H14" s="2"/>
      <c r="I14" s="2"/>
      <c r="J14" s="2"/>
      <c r="K14" s="2"/>
    </row>
    <row r="15" spans="1:11" x14ac:dyDescent="0.3">
      <c r="A15" s="2"/>
      <c r="B15" s="2"/>
      <c r="C15" s="3"/>
      <c r="D15" s="3"/>
      <c r="E15" s="3"/>
      <c r="F15" s="2"/>
      <c r="G15" s="4"/>
      <c r="H15" s="2"/>
      <c r="I15" s="2"/>
      <c r="J15" s="2"/>
      <c r="K15" s="2"/>
    </row>
    <row r="16" spans="1:11" x14ac:dyDescent="0.3">
      <c r="A16" s="2"/>
      <c r="B16" s="2"/>
      <c r="C16" s="3"/>
      <c r="D16" s="3"/>
      <c r="E16" s="3"/>
      <c r="F16" s="2"/>
      <c r="G16" s="4"/>
      <c r="H16" s="2"/>
      <c r="I16" s="2"/>
      <c r="J16" s="2"/>
      <c r="K16" s="2"/>
    </row>
    <row r="17" spans="1:11" x14ac:dyDescent="0.3">
      <c r="A17" s="2"/>
      <c r="B17" s="2"/>
      <c r="C17" s="3"/>
      <c r="D17" s="3"/>
      <c r="E17" s="3"/>
      <c r="F17" s="2"/>
      <c r="G17" s="4"/>
      <c r="H17" s="2"/>
      <c r="I17" s="2"/>
      <c r="J17" s="2"/>
      <c r="K17" s="2"/>
    </row>
    <row r="18" spans="1:11" x14ac:dyDescent="0.3">
      <c r="A18" s="2"/>
      <c r="B18" s="2"/>
      <c r="C18" s="3"/>
      <c r="D18" s="3"/>
      <c r="E18" s="3"/>
      <c r="F18" s="2"/>
      <c r="G18" s="4"/>
      <c r="H18" s="2"/>
      <c r="I18" s="2"/>
      <c r="J18" s="2"/>
      <c r="K18" s="2"/>
    </row>
    <row r="19" spans="1:11" x14ac:dyDescent="0.3">
      <c r="A19" s="2"/>
      <c r="B19" s="2"/>
      <c r="C19" s="3"/>
      <c r="D19" s="3"/>
      <c r="E19" s="3"/>
      <c r="F19" s="2"/>
      <c r="G19" s="4"/>
      <c r="H19" s="2"/>
      <c r="I19" s="2"/>
      <c r="J19" s="2"/>
      <c r="K19" s="2"/>
    </row>
    <row r="22" spans="1:11" x14ac:dyDescent="0.3">
      <c r="A22" s="5" t="s">
        <v>19</v>
      </c>
      <c r="F22" s="6">
        <f>SUM(F5:F19)</f>
        <v>467</v>
      </c>
    </row>
    <row r="24" spans="1:11" x14ac:dyDescent="0.3">
      <c r="A24" s="13" t="s">
        <v>20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3">
      <c r="A25" t="s">
        <v>21</v>
      </c>
      <c r="B25" s="7">
        <f>(100%/COUNT(F5:F19))*0.7</f>
        <v>0.23333333333333331</v>
      </c>
      <c r="D25" t="s">
        <v>22</v>
      </c>
    </row>
    <row r="26" spans="1:11" x14ac:dyDescent="0.3">
      <c r="A26" t="s">
        <v>23</v>
      </c>
      <c r="B26" s="8">
        <f>AVERAGE(E5:E19)</f>
        <v>6050</v>
      </c>
      <c r="D26" t="s">
        <v>24</v>
      </c>
    </row>
    <row r="28" spans="1:11" x14ac:dyDescent="0.3">
      <c r="A28" s="15" t="s">
        <v>25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1:11" x14ac:dyDescent="0.3">
      <c r="A29" s="9" t="s">
        <v>26</v>
      </c>
      <c r="B29" s="10"/>
      <c r="C29" s="11" t="s">
        <v>27</v>
      </c>
      <c r="D29" s="10"/>
      <c r="E29" s="10"/>
      <c r="F29" s="12" t="s">
        <v>28</v>
      </c>
      <c r="G29" s="10"/>
      <c r="H29" s="10"/>
      <c r="I29" s="10"/>
      <c r="J29" s="10"/>
      <c r="K29" s="10"/>
    </row>
    <row r="30" spans="1:11" x14ac:dyDescent="0.3">
      <c r="A30" s="9" t="s">
        <v>29</v>
      </c>
      <c r="B30" s="10"/>
      <c r="C30" s="11" t="s">
        <v>30</v>
      </c>
      <c r="D30" s="10"/>
      <c r="E30" s="10"/>
      <c r="F30" s="12" t="s">
        <v>31</v>
      </c>
      <c r="G30" s="10"/>
      <c r="H30" s="10"/>
      <c r="I30" s="10"/>
      <c r="J30" s="10"/>
      <c r="K30" s="10"/>
    </row>
    <row r="31" spans="1:11" x14ac:dyDescent="0.3">
      <c r="A31" s="9" t="s">
        <v>32</v>
      </c>
      <c r="B31" s="10"/>
      <c r="C31" s="11" t="s">
        <v>33</v>
      </c>
      <c r="D31" s="10"/>
      <c r="E31" s="10"/>
      <c r="F31" s="12" t="s">
        <v>34</v>
      </c>
      <c r="G31" s="10"/>
      <c r="H31" s="10"/>
      <c r="I31" s="10"/>
      <c r="J31" s="10"/>
      <c r="K31" s="10"/>
    </row>
    <row r="32" spans="1:11" x14ac:dyDescent="0.3">
      <c r="A32" s="9" t="s">
        <v>35</v>
      </c>
      <c r="B32" s="10"/>
      <c r="C32" s="11" t="s">
        <v>36</v>
      </c>
      <c r="D32" s="10"/>
      <c r="E32" s="10"/>
      <c r="F32" s="12" t="s">
        <v>37</v>
      </c>
      <c r="G32" s="10"/>
      <c r="H32" s="10"/>
      <c r="I32" s="10"/>
      <c r="J32" s="10"/>
      <c r="K32" s="10"/>
    </row>
  </sheetData>
  <mergeCells count="16">
    <mergeCell ref="A1:K1"/>
    <mergeCell ref="F29:K29"/>
    <mergeCell ref="F30:K30"/>
    <mergeCell ref="A24:K24"/>
    <mergeCell ref="A2:K2"/>
    <mergeCell ref="A32:B32"/>
    <mergeCell ref="A28:K28"/>
    <mergeCell ref="C29:E29"/>
    <mergeCell ref="C30:E30"/>
    <mergeCell ref="A31:B31"/>
    <mergeCell ref="A30:B30"/>
    <mergeCell ref="A29:B29"/>
    <mergeCell ref="C31:E31"/>
    <mergeCell ref="C32:E32"/>
    <mergeCell ref="F32:K32"/>
    <mergeCell ref="F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Menu Engineering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Norman Alfaro Cruz</cp:lastModifiedBy>
  <dcterms:created xsi:type="dcterms:W3CDTF">2025-10-28T03:29:08Z</dcterms:created>
  <dcterms:modified xsi:type="dcterms:W3CDTF">2025-11-05T00:45:32Z</dcterms:modified>
</cp:coreProperties>
</file>