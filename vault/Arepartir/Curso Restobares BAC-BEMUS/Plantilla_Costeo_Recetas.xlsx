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adminvenegasnexia-my.sharepoint.com/personal/nalfaro_venegasnexia_com/Documents/Documentos 1/Norman Personales/Bemus/Restobares/"/>
    </mc:Choice>
  </mc:AlternateContent>
  <xr:revisionPtr revIDLastSave="1" documentId="11_884FA68F527C6E6E617FC0B554C07E3BB77A8846" xr6:coauthVersionLast="47" xr6:coauthVersionMax="47" xr10:uidLastSave="{7659DEF4-F5B2-4232-A81A-8E9BA51B525B}"/>
  <bookViews>
    <workbookView xWindow="28680" yWindow="-120" windowWidth="29040" windowHeight="15720" xr2:uid="{00000000-000D-0000-FFFF-FFFF00000000}"/>
  </bookViews>
  <sheets>
    <sheet name="Costeo de Rece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3" i="1" l="1"/>
  <c r="F36" i="1" s="1"/>
  <c r="F39" i="1" s="1"/>
  <c r="F41" i="1" s="1"/>
  <c r="F42" i="1" s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</calcChain>
</file>

<file path=xl/sharedStrings.xml><?xml version="1.0" encoding="utf-8"?>
<sst xmlns="http://schemas.openxmlformats.org/spreadsheetml/2006/main" count="25" uniqueCount="25">
  <si>
    <t>PLANTILLA DE COSTEO DE RECETAS</t>
  </si>
  <si>
    <t>INFORMACIÓN DE LA RECETA</t>
  </si>
  <si>
    <t>Nombre de la receta:</t>
  </si>
  <si>
    <t>Categoría:</t>
  </si>
  <si>
    <t>Porciones que rinde:</t>
  </si>
  <si>
    <t>Fecha:</t>
  </si>
  <si>
    <t>Preparado por:</t>
  </si>
  <si>
    <t>INGREDIENTES Y COSTOS</t>
  </si>
  <si>
    <t>Nº</t>
  </si>
  <si>
    <t>INGREDIENTE</t>
  </si>
  <si>
    <t>CANTIDAD</t>
  </si>
  <si>
    <t>UNIDAD</t>
  </si>
  <si>
    <t>COSTO/UNIDAD (₡)</t>
  </si>
  <si>
    <t>COSTO TOTAL (₡)</t>
  </si>
  <si>
    <t>SUBTOTAL - Costo de ingredientes:</t>
  </si>
  <si>
    <t>Factor de desperdicio/varianza (%):</t>
  </si>
  <si>
    <t>COSTO AJUSTADO (con desperdicio):</t>
  </si>
  <si>
    <t>Food/Beverage Cost objetivo (%):</t>
  </si>
  <si>
    <t>PRECIO DE VENTA SUGERIDO:</t>
  </si>
  <si>
    <t>MARGEN DE CONTRIBUCIÓN:</t>
  </si>
  <si>
    <t>MARGEN DE CONTRIBUCIÓN (%):</t>
  </si>
  <si>
    <t>NOTAS:</t>
  </si>
  <si>
    <t>• Factor de desperdicio típico: Alimentos 15%, Bebidas 20%</t>
  </si>
  <si>
    <t>• Food Cost ideal: 28-35% | Beverage Cost ideal: 15-25%</t>
  </si>
  <si>
    <t>• Ajuste el precio sugerido según competencia y posicionamiento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</si>
</sst>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₡#,##0.00"/>
    <numFmt numFmtId="165" formatCode="0.0%"/>
  </numFmts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name val="Calibri"/>
    </font>
    <font>
      <b/>
      <sz val="12"/>
      <color rgb="FFFFFFFF"/>
      <name val="Calibri"/>
    </font>
    <font>
      <b/>
      <sz val="11"/>
      <name val="Calibri"/>
    </font>
    <font>
      <b/>
      <i/>
      <sz val="9"/>
      <name val="Calibri"/>
    </font>
    <font>
      <i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203864"/>
        <bgColor rgb="FF203864"/>
      </patternFill>
    </fill>
    <fill>
      <patternFill patternType="solid">
        <fgColor rgb="FFB4C7E7"/>
        <bgColor rgb="FFB4C7E7"/>
      </patternFill>
    </fill>
    <fill>
      <patternFill patternType="solid">
        <fgColor rgb="FF4472C4"/>
        <bgColor rgb="FF4472C4"/>
      </patternFill>
    </fill>
    <fill>
      <patternFill patternType="solid">
        <fgColor rgb="FFE7E6E6"/>
        <bgColor rgb="FFE7E6E6"/>
      </patternFill>
    </fill>
    <fill>
      <patternFill patternType="solid">
        <fgColor rgb="FFFFF2CC"/>
        <bgColor rgb="FFFFF2CC"/>
      </patternFill>
    </fill>
    <fill>
      <patternFill patternType="solid">
        <fgColor rgb="FFFFC000"/>
        <bgColor rgb="FFFFC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  <xf numFmtId="0" fontId="4" fillId="0" borderId="0" xfId="0" applyFont="1"/>
    <xf numFmtId="164" fontId="4" fillId="5" borderId="0" xfId="0" applyNumberFormat="1" applyFont="1" applyFill="1"/>
    <xf numFmtId="9" fontId="0" fillId="0" borderId="0" xfId="0" applyNumberFormat="1"/>
    <xf numFmtId="164" fontId="4" fillId="6" borderId="0" xfId="0" applyNumberFormat="1" applyFont="1" applyFill="1"/>
    <xf numFmtId="0" fontId="2" fillId="0" borderId="0" xfId="0" applyFont="1"/>
    <xf numFmtId="164" fontId="2" fillId="7" borderId="0" xfId="0" applyNumberFormat="1" applyFont="1" applyFill="1"/>
    <xf numFmtId="164" fontId="4" fillId="0" borderId="0" xfId="0" applyNumberFormat="1" applyFont="1"/>
    <xf numFmtId="165" fontId="4" fillId="0" borderId="0" xfId="0" applyNumberFormat="1" applyFont="1"/>
    <xf numFmtId="0" fontId="5" fillId="0" borderId="0" xfId="0" applyFont="1"/>
    <xf numFmtId="0" fontId="6" fillId="0" borderId="0" xfId="0" applyFont="1"/>
    <xf numFmtId="0" fontId="2" fillId="3" borderId="0" xfId="0" applyFont="1" applyFill="1"/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8"/>
  <sheetViews>
    <sheetView tabSelected="1" topLeftCell="A9" workbookViewId="0">
      <selection sqref="A1:F1"/>
    </sheetView>
  </sheetViews>
  <sheetFormatPr baseColWidth="10" defaultColWidth="8.88671875" defaultRowHeight="14.4" x14ac:dyDescent="0.3"/>
  <cols>
    <col min="2" max="2" width="30" customWidth="1"/>
    <col min="3" max="3" width="12" customWidth="1"/>
    <col min="4" max="4" width="15" customWidth="1"/>
    <col min="5" max="5" width="32.88671875" bestFit="1" customWidth="1"/>
    <col min="6" max="6" width="15" customWidth="1"/>
  </cols>
  <sheetData>
    <row r="1" spans="1:6" ht="25.05" customHeight="1" x14ac:dyDescent="0.3">
      <c r="A1" s="16" t="s">
        <v>0</v>
      </c>
      <c r="B1" s="15"/>
      <c r="C1" s="15"/>
      <c r="D1" s="15"/>
      <c r="E1" s="15"/>
      <c r="F1" s="15"/>
    </row>
    <row r="3" spans="1:6" x14ac:dyDescent="0.3">
      <c r="A3" s="14" t="s">
        <v>1</v>
      </c>
      <c r="B3" s="15"/>
    </row>
    <row r="4" spans="1:6" x14ac:dyDescent="0.3">
      <c r="A4" t="s">
        <v>2</v>
      </c>
    </row>
    <row r="5" spans="1:6" x14ac:dyDescent="0.3">
      <c r="A5" t="s">
        <v>3</v>
      </c>
    </row>
    <row r="6" spans="1:6" x14ac:dyDescent="0.3">
      <c r="A6" t="s">
        <v>4</v>
      </c>
    </row>
    <row r="7" spans="1:6" x14ac:dyDescent="0.3">
      <c r="A7" t="s">
        <v>5</v>
      </c>
    </row>
    <row r="8" spans="1:6" x14ac:dyDescent="0.3">
      <c r="A8" t="s">
        <v>6</v>
      </c>
    </row>
    <row r="10" spans="1:6" x14ac:dyDescent="0.3">
      <c r="A10" s="17" t="s">
        <v>7</v>
      </c>
      <c r="B10" s="15"/>
      <c r="C10" s="15"/>
      <c r="D10" s="15"/>
      <c r="E10" s="15"/>
      <c r="F10" s="15"/>
    </row>
    <row r="11" spans="1:6" ht="15.6" x14ac:dyDescent="0.3">
      <c r="A11" s="1" t="s">
        <v>8</v>
      </c>
      <c r="B11" s="1" t="s">
        <v>9</v>
      </c>
      <c r="C11" s="1" t="s">
        <v>10</v>
      </c>
      <c r="D11" s="1" t="s">
        <v>11</v>
      </c>
      <c r="E11" s="1" t="s">
        <v>12</v>
      </c>
      <c r="F11" s="1" t="s">
        <v>13</v>
      </c>
    </row>
    <row r="12" spans="1:6" x14ac:dyDescent="0.3">
      <c r="A12" s="2">
        <v>1</v>
      </c>
      <c r="B12" s="2"/>
      <c r="C12" s="2"/>
      <c r="D12" s="2"/>
      <c r="E12" s="3"/>
      <c r="F12" s="3">
        <f t="shared" ref="F12:F31" si="0">C12*E12</f>
        <v>0</v>
      </c>
    </row>
    <row r="13" spans="1:6" x14ac:dyDescent="0.3">
      <c r="A13" s="2">
        <v>2</v>
      </c>
      <c r="B13" s="2"/>
      <c r="C13" s="2"/>
      <c r="D13" s="2"/>
      <c r="E13" s="3"/>
      <c r="F13" s="3">
        <f t="shared" si="0"/>
        <v>0</v>
      </c>
    </row>
    <row r="14" spans="1:6" x14ac:dyDescent="0.3">
      <c r="A14" s="2">
        <v>3</v>
      </c>
      <c r="B14" s="2"/>
      <c r="C14" s="2"/>
      <c r="D14" s="2"/>
      <c r="E14" s="3"/>
      <c r="F14" s="3">
        <f t="shared" si="0"/>
        <v>0</v>
      </c>
    </row>
    <row r="15" spans="1:6" x14ac:dyDescent="0.3">
      <c r="A15" s="2">
        <v>4</v>
      </c>
      <c r="B15" s="2"/>
      <c r="C15" s="2"/>
      <c r="D15" s="2"/>
      <c r="E15" s="3"/>
      <c r="F15" s="3">
        <f t="shared" si="0"/>
        <v>0</v>
      </c>
    </row>
    <row r="16" spans="1:6" x14ac:dyDescent="0.3">
      <c r="A16" s="2">
        <v>5</v>
      </c>
      <c r="B16" s="2"/>
      <c r="C16" s="2"/>
      <c r="D16" s="2"/>
      <c r="E16" s="3"/>
      <c r="F16" s="3">
        <f t="shared" si="0"/>
        <v>0</v>
      </c>
    </row>
    <row r="17" spans="1:6" x14ac:dyDescent="0.3">
      <c r="A17" s="2">
        <v>6</v>
      </c>
      <c r="B17" s="2"/>
      <c r="C17" s="2"/>
      <c r="D17" s="2"/>
      <c r="E17" s="3"/>
      <c r="F17" s="3">
        <f t="shared" si="0"/>
        <v>0</v>
      </c>
    </row>
    <row r="18" spans="1:6" x14ac:dyDescent="0.3">
      <c r="A18" s="2">
        <v>7</v>
      </c>
      <c r="B18" s="2"/>
      <c r="C18" s="2"/>
      <c r="D18" s="2"/>
      <c r="E18" s="3"/>
      <c r="F18" s="3">
        <f t="shared" si="0"/>
        <v>0</v>
      </c>
    </row>
    <row r="19" spans="1:6" x14ac:dyDescent="0.3">
      <c r="A19" s="2">
        <v>8</v>
      </c>
      <c r="B19" s="2"/>
      <c r="C19" s="2"/>
      <c r="D19" s="2"/>
      <c r="E19" s="3"/>
      <c r="F19" s="3">
        <f t="shared" si="0"/>
        <v>0</v>
      </c>
    </row>
    <row r="20" spans="1:6" x14ac:dyDescent="0.3">
      <c r="A20" s="2">
        <v>9</v>
      </c>
      <c r="B20" s="2"/>
      <c r="C20" s="2"/>
      <c r="D20" s="2"/>
      <c r="E20" s="3"/>
      <c r="F20" s="3">
        <f t="shared" si="0"/>
        <v>0</v>
      </c>
    </row>
    <row r="21" spans="1:6" x14ac:dyDescent="0.3">
      <c r="A21" s="2">
        <v>10</v>
      </c>
      <c r="B21" s="2"/>
      <c r="C21" s="2"/>
      <c r="D21" s="2"/>
      <c r="E21" s="3"/>
      <c r="F21" s="3">
        <f t="shared" si="0"/>
        <v>0</v>
      </c>
    </row>
    <row r="22" spans="1:6" x14ac:dyDescent="0.3">
      <c r="A22" s="2">
        <v>11</v>
      </c>
      <c r="B22" s="2"/>
      <c r="C22" s="2"/>
      <c r="D22" s="2"/>
      <c r="E22" s="3"/>
      <c r="F22" s="3">
        <f t="shared" si="0"/>
        <v>0</v>
      </c>
    </row>
    <row r="23" spans="1:6" x14ac:dyDescent="0.3">
      <c r="A23" s="2">
        <v>12</v>
      </c>
      <c r="B23" s="2"/>
      <c r="C23" s="2"/>
      <c r="D23" s="2"/>
      <c r="E23" s="3"/>
      <c r="F23" s="3">
        <f t="shared" si="0"/>
        <v>0</v>
      </c>
    </row>
    <row r="24" spans="1:6" x14ac:dyDescent="0.3">
      <c r="A24" s="2">
        <v>13</v>
      </c>
      <c r="B24" s="2"/>
      <c r="C24" s="2"/>
      <c r="D24" s="2"/>
      <c r="E24" s="3"/>
      <c r="F24" s="3">
        <f t="shared" si="0"/>
        <v>0</v>
      </c>
    </row>
    <row r="25" spans="1:6" x14ac:dyDescent="0.3">
      <c r="A25" s="2">
        <v>14</v>
      </c>
      <c r="B25" s="2"/>
      <c r="C25" s="2"/>
      <c r="D25" s="2"/>
      <c r="E25" s="3"/>
      <c r="F25" s="3">
        <f t="shared" si="0"/>
        <v>0</v>
      </c>
    </row>
    <row r="26" spans="1:6" x14ac:dyDescent="0.3">
      <c r="A26" s="2">
        <v>15</v>
      </c>
      <c r="B26" s="2"/>
      <c r="C26" s="2"/>
      <c r="D26" s="2"/>
      <c r="E26" s="3"/>
      <c r="F26" s="3">
        <f t="shared" si="0"/>
        <v>0</v>
      </c>
    </row>
    <row r="27" spans="1:6" x14ac:dyDescent="0.3">
      <c r="A27" s="2">
        <v>16</v>
      </c>
      <c r="B27" s="2"/>
      <c r="C27" s="2"/>
      <c r="D27" s="2"/>
      <c r="E27" s="3"/>
      <c r="F27" s="3">
        <f t="shared" si="0"/>
        <v>0</v>
      </c>
    </row>
    <row r="28" spans="1:6" x14ac:dyDescent="0.3">
      <c r="A28" s="2">
        <v>17</v>
      </c>
      <c r="B28" s="2"/>
      <c r="C28" s="2"/>
      <c r="D28" s="2"/>
      <c r="E28" s="3"/>
      <c r="F28" s="3">
        <f t="shared" si="0"/>
        <v>0</v>
      </c>
    </row>
    <row r="29" spans="1:6" x14ac:dyDescent="0.3">
      <c r="A29" s="2">
        <v>18</v>
      </c>
      <c r="B29" s="2"/>
      <c r="C29" s="2"/>
      <c r="D29" s="2"/>
      <c r="E29" s="3"/>
      <c r="F29" s="3">
        <f t="shared" si="0"/>
        <v>0</v>
      </c>
    </row>
    <row r="30" spans="1:6" x14ac:dyDescent="0.3">
      <c r="A30" s="2">
        <v>19</v>
      </c>
      <c r="B30" s="2"/>
      <c r="C30" s="2"/>
      <c r="D30" s="2"/>
      <c r="E30" s="3"/>
      <c r="F30" s="3">
        <f t="shared" si="0"/>
        <v>0</v>
      </c>
    </row>
    <row r="31" spans="1:6" x14ac:dyDescent="0.3">
      <c r="A31" s="2">
        <v>20</v>
      </c>
      <c r="B31" s="2"/>
      <c r="C31" s="2"/>
      <c r="D31" s="2"/>
      <c r="E31" s="3"/>
      <c r="F31" s="3">
        <f t="shared" si="0"/>
        <v>0</v>
      </c>
    </row>
    <row r="33" spans="1:6" x14ac:dyDescent="0.3">
      <c r="E33" s="4" t="s">
        <v>14</v>
      </c>
      <c r="F33" s="5">
        <f>SUM(F12:F31)</f>
        <v>0</v>
      </c>
    </row>
    <row r="35" spans="1:6" x14ac:dyDescent="0.3">
      <c r="E35" t="s">
        <v>15</v>
      </c>
      <c r="F35" s="6">
        <v>0.15</v>
      </c>
    </row>
    <row r="36" spans="1:6" x14ac:dyDescent="0.3">
      <c r="E36" s="4" t="s">
        <v>16</v>
      </c>
      <c r="F36" s="7">
        <f>F33*(1+F35)</f>
        <v>0</v>
      </c>
    </row>
    <row r="38" spans="1:6" x14ac:dyDescent="0.3">
      <c r="E38" t="s">
        <v>17</v>
      </c>
      <c r="F38" s="6">
        <v>0.3</v>
      </c>
    </row>
    <row r="39" spans="1:6" x14ac:dyDescent="0.3">
      <c r="E39" s="8" t="s">
        <v>18</v>
      </c>
      <c r="F39" s="9">
        <f>F36/F38</f>
        <v>0</v>
      </c>
    </row>
    <row r="41" spans="1:6" x14ac:dyDescent="0.3">
      <c r="E41" s="4" t="s">
        <v>19</v>
      </c>
      <c r="F41" s="10">
        <f>F39-F36</f>
        <v>0</v>
      </c>
    </row>
    <row r="42" spans="1:6" x14ac:dyDescent="0.3">
      <c r="E42" s="4" t="s">
        <v>20</v>
      </c>
      <c r="F42" s="11" t="e">
        <f>F41/F39</f>
        <v>#DIV/0!</v>
      </c>
    </row>
    <row r="45" spans="1:6" x14ac:dyDescent="0.3">
      <c r="A45" s="12" t="s">
        <v>21</v>
      </c>
    </row>
    <row r="46" spans="1:6" x14ac:dyDescent="0.3">
      <c r="A46" s="13" t="s">
        <v>22</v>
      </c>
    </row>
    <row r="47" spans="1:6" x14ac:dyDescent="0.3">
      <c r="A47" s="13" t="s">
        <v>23</v>
      </c>
    </row>
    <row r="48" spans="1:6" x14ac:dyDescent="0.3">
      <c r="A48" s="13" t="s">
        <v>24</v>
      </c>
    </row>
  </sheetData>
  <mergeCells count="3">
    <mergeCell ref="A3:B3"/>
    <mergeCell ref="A1:F1"/>
    <mergeCell ref="A10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Costeo de Receta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Norman Alfaro Cruz</cp:lastModifiedBy>
  <dcterms:created xsi:type="dcterms:W3CDTF">2025-10-28T03:28:12Z</dcterms:created>
  <dcterms:modified xsi:type="dcterms:W3CDTF">2025-10-28T03:29:37Z</dcterms:modified>
</cp:coreProperties>
</file>