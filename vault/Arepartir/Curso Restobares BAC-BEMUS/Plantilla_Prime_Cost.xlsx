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adminvenegasnexia-my.sharepoint.com/personal/nalfaro_venegasnexia_com/Documents/Documentos 1/Norman Personales/Bemus/Restobares/"/>
    </mc:Choice>
  </mc:AlternateContent>
  <xr:revisionPtr revIDLastSave="2" documentId="11_60D94B5F536B0EAF607020D75A5DCE3AC74FF989" xr6:coauthVersionLast="47" xr6:coauthVersionMax="47" xr10:uidLastSave="{EAD38BA1-0570-43C2-A99F-A21F3FF266F5}"/>
  <bookViews>
    <workbookView xWindow="-108" yWindow="-108" windowWidth="23256" windowHeight="12456" xr2:uid="{00000000-000D-0000-FFFF-FFFF00000000}"/>
  </bookViews>
  <sheets>
    <sheet name="Prime 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H17" i="1"/>
  <c r="G17" i="1"/>
  <c r="F17" i="1"/>
  <c r="E17" i="1"/>
  <c r="D17" i="1"/>
  <c r="C17" i="1"/>
  <c r="B17" i="1"/>
  <c r="H16" i="1"/>
  <c r="D16" i="1"/>
  <c r="I16" i="1" s="1"/>
  <c r="K16" i="1" s="1"/>
  <c r="H15" i="1"/>
  <c r="D15" i="1"/>
  <c r="I15" i="1" s="1"/>
  <c r="K15" i="1" s="1"/>
  <c r="H14" i="1"/>
  <c r="D14" i="1"/>
  <c r="I14" i="1" s="1"/>
  <c r="K14" i="1" s="1"/>
  <c r="H13" i="1"/>
  <c r="D13" i="1"/>
  <c r="I13" i="1" s="1"/>
  <c r="K13" i="1" s="1"/>
  <c r="H12" i="1"/>
  <c r="D12" i="1"/>
  <c r="I12" i="1" s="1"/>
  <c r="K12" i="1" s="1"/>
  <c r="H11" i="1"/>
  <c r="D11" i="1"/>
  <c r="I11" i="1" s="1"/>
  <c r="K11" i="1" s="1"/>
  <c r="H10" i="1"/>
  <c r="D10" i="1"/>
  <c r="I10" i="1" s="1"/>
  <c r="K10" i="1" s="1"/>
  <c r="H9" i="1"/>
  <c r="D9" i="1"/>
  <c r="I9" i="1" s="1"/>
  <c r="K9" i="1" s="1"/>
  <c r="H8" i="1"/>
  <c r="D8" i="1"/>
  <c r="I8" i="1" s="1"/>
  <c r="K8" i="1" s="1"/>
  <c r="H7" i="1"/>
  <c r="D7" i="1"/>
  <c r="I7" i="1" s="1"/>
  <c r="K7" i="1" s="1"/>
  <c r="H6" i="1"/>
  <c r="D6" i="1"/>
  <c r="I6" i="1" s="1"/>
  <c r="K6" i="1" s="1"/>
  <c r="H5" i="1"/>
  <c r="D5" i="1"/>
  <c r="I5" i="1" s="1"/>
  <c r="I17" i="1" l="1"/>
  <c r="K17" i="1" s="1"/>
  <c r="K5" i="1"/>
</calcChain>
</file>

<file path=xl/sharedStrings.xml><?xml version="1.0" encoding="utf-8"?>
<sst xmlns="http://schemas.openxmlformats.org/spreadsheetml/2006/main" count="51" uniqueCount="51">
  <si>
    <t>CÁLCULO DE PRIME COST MENSUAL</t>
  </si>
  <si>
    <t>El Prime Cost debe estar entre 55-65% para un restobar saludable</t>
  </si>
  <si>
    <t>MES</t>
  </si>
  <si>
    <t>COSTO ALIMENTOS (₡)</t>
  </si>
  <si>
    <t>COSTO BEBIDAS (₡)</t>
  </si>
  <si>
    <t>TOTAL MERCADERÍA (₡)</t>
  </si>
  <si>
    <t>NÓMINA COCINA (₡)</t>
  </si>
  <si>
    <t>NÓMINA SERVICIO (₡)</t>
  </si>
  <si>
    <t>NÓMINA ADMIN (₡)</t>
  </si>
  <si>
    <t>TOTAL NÓMINA (₡)</t>
  </si>
  <si>
    <t>PRIME COST (₡)</t>
  </si>
  <si>
    <t>VENTAS TOTALES (₡)</t>
  </si>
  <si>
    <t>PRIME COST %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</si>
  <si>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</si>
  <si>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</si>
  <si>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</si>
  <si>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</si>
  <si>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</si>
  <si>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</si>
  <si>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</si>
  <si>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</si>
  <si>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</si>
  <si>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</si>
  <si>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</si>
  <si>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</si>
  <si>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AÑO</t>
  </si>
  <si>
    <t>GUÍA DE EVALUACIÓN DEL PRIME COST</t>
  </si>
  <si>
    <t>RANGO PRIME COST</t>
  </si>
  <si>
    <t>EVALUACIÓN</t>
  </si>
  <si>
    <t>ACCIÓN RECOMENDADA</t>
  </si>
  <si>
    <t>Menos de 50%</t>
  </si>
  <si>
    <t>✅ EXCELENTE</t>
  </si>
  <si>
    <t>Mantener operación, analizar oportunidades de expansión</t>
  </si>
  <si>
    <t>50% - 55%</t>
  </si>
  <si>
    <t>✅ MUY BUENO</t>
  </si>
  <si>
    <t>Mantener operación actual</t>
  </si>
  <si>
    <t>55% - 60%</t>
  </si>
  <si>
    <t>✅ BUENO</t>
  </si>
  <si>
    <t>Revisar oportunidades de mejora</t>
  </si>
  <si>
    <t>60% - 65%</t>
  </si>
  <si>
    <t>⚠️ ACEPTABLE</t>
  </si>
  <si>
    <t>Implementar medidas de control inmediatas</t>
  </si>
  <si>
    <t>65% - 70%</t>
  </si>
  <si>
    <t>❌ PELIGRO</t>
  </si>
  <si>
    <t>Reducir costos urgentemente</t>
  </si>
  <si>
    <t>Más de 70%</t>
  </si>
  <si>
    <t>🚨 CRÍTICO</t>
  </si>
  <si>
    <t>Reestructuración urgente - negocio en riesgo</t>
  </si>
  <si>
    <t>NOTA IMPORTANTE:</t>
  </si>
  <si>
    <t>Prime Cost = Costo de Mercadería (Alimentos + Bebidas) + Costos de Nómina (incluyendo CCSS y cargas)</t>
  </si>
  <si>
    <t>Si su Prime Cost supera el 65%, está en zona de peligro financiero. Tome acción inmediata.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</si>
</sst>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₡#,##0"/>
    <numFmt numFmtId="165" formatCode="0.0%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C00000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name val="Calibri"/>
    </font>
    <font>
      <b/>
      <sz val="10"/>
      <color rgb="FFFFFFFF"/>
      <name val="Calibri"/>
    </font>
    <font>
      <sz val="9"/>
      <name val="Calibri"/>
    </font>
    <font>
      <b/>
      <sz val="10"/>
      <color rgb="FFC00000"/>
      <name val="Calibri"/>
    </font>
    <font>
      <i/>
      <sz val="9"/>
      <name val="Calibri"/>
    </font>
    <font>
      <i/>
      <sz val="9"/>
      <color rgb="FFC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0" fontId="5" fillId="4" borderId="0" xfId="0" applyFont="1" applyFill="1"/>
    <xf numFmtId="164" fontId="4" fillId="4" borderId="1" xfId="0" applyNumberFormat="1" applyFont="1" applyFill="1" applyBorder="1"/>
    <xf numFmtId="165" fontId="4" fillId="4" borderId="0" xfId="0" applyNumberFormat="1" applyFont="1" applyFill="1"/>
    <xf numFmtId="0" fontId="6" fillId="3" borderId="1" xfId="0" applyFont="1" applyFill="1" applyBorder="1" applyAlignment="1">
      <alignment horizontal="center" vertical="center"/>
    </xf>
    <xf numFmtId="0" fontId="8" fillId="0" borderId="0" xfId="0" applyFont="1"/>
    <xf numFmtId="0" fontId="0" fillId="0" borderId="1" xfId="0" applyBorder="1" applyAlignment="1">
      <alignment horizontal="center"/>
    </xf>
    <xf numFmtId="0" fontId="7" fillId="0" borderId="1" xfId="0" applyFont="1" applyBorder="1"/>
    <xf numFmtId="0" fontId="0" fillId="0" borderId="0" xfId="0"/>
    <xf numFmtId="0" fontId="10" fillId="0" borderId="0" xfId="0" applyFont="1"/>
    <xf numFmtId="0" fontId="4" fillId="7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0"/>
  <sheetViews>
    <sheetView tabSelected="1" workbookViewId="0">
      <selection activeCell="H5" activeCellId="1" sqref="D5 H5"/>
    </sheetView>
  </sheetViews>
  <sheetFormatPr baseColWidth="10" defaultColWidth="8.88671875" defaultRowHeight="14.4" x14ac:dyDescent="0.3"/>
  <cols>
    <col min="1" max="1" width="18" customWidth="1"/>
    <col min="2" max="2" width="25" customWidth="1"/>
    <col min="3" max="3" width="35" customWidth="1"/>
    <col min="4" max="10" width="15" customWidth="1"/>
    <col min="11" max="11" width="13" customWidth="1"/>
  </cols>
  <sheetData>
    <row r="1" spans="1:11" ht="25.05" customHeight="1" x14ac:dyDescent="0.3">
      <c r="A1" s="15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3">
      <c r="A2" s="18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spans="1:11" ht="46.8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x14ac:dyDescent="0.3">
      <c r="A5" s="2" t="s">
        <v>13</v>
      </c>
      <c r="B5" s="3">
        <v>8100000</v>
      </c>
      <c r="C5" s="3">
        <v>3500000</v>
      </c>
      <c r="D5" s="3">
        <f t="shared" ref="D5:D16" si="0">B5+C5</f>
        <v>11600000</v>
      </c>
      <c r="E5" s="3">
        <v>2200000</v>
      </c>
      <c r="F5" s="3">
        <v>1800000</v>
      </c>
      <c r="G5" s="3">
        <v>900000</v>
      </c>
      <c r="H5" s="3">
        <f t="shared" ref="H5:H16" si="1">E5+F5+G5</f>
        <v>4900000</v>
      </c>
      <c r="I5" s="3">
        <f t="shared" ref="I5:I16" si="2">D5+H5</f>
        <v>16500000</v>
      </c>
      <c r="J5" s="3">
        <v>35700000</v>
      </c>
      <c r="K5" s="4">
        <f t="shared" ref="K5:K17" si="3">I5/J5</f>
        <v>0.46218487394957986</v>
      </c>
    </row>
    <row r="6" spans="1:11" x14ac:dyDescent="0.3">
      <c r="A6" s="2" t="s">
        <v>14</v>
      </c>
      <c r="B6" s="3"/>
      <c r="C6" s="3"/>
      <c r="D6" s="3">
        <f t="shared" si="0"/>
        <v>0</v>
      </c>
      <c r="E6" s="3"/>
      <c r="F6" s="3"/>
      <c r="G6" s="3"/>
      <c r="H6" s="3">
        <f t="shared" si="1"/>
        <v>0</v>
      </c>
      <c r="I6" s="3">
        <f t="shared" si="2"/>
        <v>0</v>
      </c>
      <c r="J6" s="3"/>
      <c r="K6" s="4" t="e">
        <f t="shared" si="3"/>
        <v>#DIV/0!</v>
      </c>
    </row>
    <row r="7" spans="1:11" x14ac:dyDescent="0.3">
      <c r="A7" s="2" t="s">
        <v>15</v>
      </c>
      <c r="B7" s="3"/>
      <c r="C7" s="3"/>
      <c r="D7" s="3">
        <f t="shared" si="0"/>
        <v>0</v>
      </c>
      <c r="E7" s="3"/>
      <c r="F7" s="3"/>
      <c r="G7" s="3"/>
      <c r="H7" s="3">
        <f t="shared" si="1"/>
        <v>0</v>
      </c>
      <c r="I7" s="3">
        <f t="shared" si="2"/>
        <v>0</v>
      </c>
      <c r="J7" s="3"/>
      <c r="K7" s="4" t="e">
        <f t="shared" si="3"/>
        <v>#DIV/0!</v>
      </c>
    </row>
    <row r="8" spans="1:11" x14ac:dyDescent="0.3">
      <c r="A8" s="2" t="s">
        <v>16</v>
      </c>
      <c r="B8" s="3"/>
      <c r="C8" s="3"/>
      <c r="D8" s="3">
        <f t="shared" si="0"/>
        <v>0</v>
      </c>
      <c r="E8" s="3"/>
      <c r="F8" s="3"/>
      <c r="G8" s="3"/>
      <c r="H8" s="3">
        <f t="shared" si="1"/>
        <v>0</v>
      </c>
      <c r="I8" s="3">
        <f t="shared" si="2"/>
        <v>0</v>
      </c>
      <c r="J8" s="3"/>
      <c r="K8" s="4" t="e">
        <f t="shared" si="3"/>
        <v>#DIV/0!</v>
      </c>
    </row>
    <row r="9" spans="1:11" x14ac:dyDescent="0.3">
      <c r="A9" s="2" t="s">
        <v>17</v>
      </c>
      <c r="B9" s="3"/>
      <c r="C9" s="3"/>
      <c r="D9" s="3">
        <f t="shared" si="0"/>
        <v>0</v>
      </c>
      <c r="E9" s="3"/>
      <c r="F9" s="3"/>
      <c r="G9" s="3"/>
      <c r="H9" s="3">
        <f t="shared" si="1"/>
        <v>0</v>
      </c>
      <c r="I9" s="3">
        <f t="shared" si="2"/>
        <v>0</v>
      </c>
      <c r="J9" s="3"/>
      <c r="K9" s="4" t="e">
        <f t="shared" si="3"/>
        <v>#DIV/0!</v>
      </c>
    </row>
    <row r="10" spans="1:11" x14ac:dyDescent="0.3">
      <c r="A10" s="2" t="s">
        <v>18</v>
      </c>
      <c r="B10" s="3"/>
      <c r="C10" s="3"/>
      <c r="D10" s="3">
        <f t="shared" si="0"/>
        <v>0</v>
      </c>
      <c r="E10" s="3"/>
      <c r="F10" s="3"/>
      <c r="G10" s="3"/>
      <c r="H10" s="3">
        <f t="shared" si="1"/>
        <v>0</v>
      </c>
      <c r="I10" s="3">
        <f t="shared" si="2"/>
        <v>0</v>
      </c>
      <c r="J10" s="3"/>
      <c r="K10" s="4" t="e">
        <f t="shared" si="3"/>
        <v>#DIV/0!</v>
      </c>
    </row>
    <row r="11" spans="1:11" x14ac:dyDescent="0.3">
      <c r="A11" s="2" t="s">
        <v>19</v>
      </c>
      <c r="B11" s="3"/>
      <c r="C11" s="3"/>
      <c r="D11" s="3">
        <f t="shared" si="0"/>
        <v>0</v>
      </c>
      <c r="E11" s="3"/>
      <c r="F11" s="3"/>
      <c r="G11" s="3"/>
      <c r="H11" s="3">
        <f t="shared" si="1"/>
        <v>0</v>
      </c>
      <c r="I11" s="3">
        <f t="shared" si="2"/>
        <v>0</v>
      </c>
      <c r="J11" s="3"/>
      <c r="K11" s="4" t="e">
        <f t="shared" si="3"/>
        <v>#DIV/0!</v>
      </c>
    </row>
    <row r="12" spans="1:11" x14ac:dyDescent="0.3">
      <c r="A12" s="2" t="s">
        <v>20</v>
      </c>
      <c r="B12" s="3"/>
      <c r="C12" s="3"/>
      <c r="D12" s="3">
        <f t="shared" si="0"/>
        <v>0</v>
      </c>
      <c r="E12" s="3"/>
      <c r="F12" s="3"/>
      <c r="G12" s="3"/>
      <c r="H12" s="3">
        <f t="shared" si="1"/>
        <v>0</v>
      </c>
      <c r="I12" s="3">
        <f t="shared" si="2"/>
        <v>0</v>
      </c>
      <c r="J12" s="3"/>
      <c r="K12" s="4" t="e">
        <f t="shared" si="3"/>
        <v>#DIV/0!</v>
      </c>
    </row>
    <row r="13" spans="1:11" x14ac:dyDescent="0.3">
      <c r="A13" s="2" t="s">
        <v>21</v>
      </c>
      <c r="B13" s="3"/>
      <c r="C13" s="3"/>
      <c r="D13" s="3">
        <f t="shared" si="0"/>
        <v>0</v>
      </c>
      <c r="E13" s="3"/>
      <c r="F13" s="3"/>
      <c r="G13" s="3"/>
      <c r="H13" s="3">
        <f t="shared" si="1"/>
        <v>0</v>
      </c>
      <c r="I13" s="3">
        <f t="shared" si="2"/>
        <v>0</v>
      </c>
      <c r="J13" s="3"/>
      <c r="K13" s="4" t="e">
        <f t="shared" si="3"/>
        <v>#DIV/0!</v>
      </c>
    </row>
    <row r="14" spans="1:11" x14ac:dyDescent="0.3">
      <c r="A14" s="2" t="s">
        <v>22</v>
      </c>
      <c r="B14" s="3"/>
      <c r="C14" s="3"/>
      <c r="D14" s="3">
        <f t="shared" si="0"/>
        <v>0</v>
      </c>
      <c r="E14" s="3"/>
      <c r="F14" s="3"/>
      <c r="G14" s="3"/>
      <c r="H14" s="3">
        <f t="shared" si="1"/>
        <v>0</v>
      </c>
      <c r="I14" s="3">
        <f t="shared" si="2"/>
        <v>0</v>
      </c>
      <c r="J14" s="3"/>
      <c r="K14" s="4" t="e">
        <f t="shared" si="3"/>
        <v>#DIV/0!</v>
      </c>
    </row>
    <row r="15" spans="1:11" x14ac:dyDescent="0.3">
      <c r="A15" s="2" t="s">
        <v>23</v>
      </c>
      <c r="B15" s="3"/>
      <c r="C15" s="3"/>
      <c r="D15" s="3">
        <f t="shared" si="0"/>
        <v>0</v>
      </c>
      <c r="E15" s="3"/>
      <c r="F15" s="3"/>
      <c r="G15" s="3"/>
      <c r="H15" s="3">
        <f t="shared" si="1"/>
        <v>0</v>
      </c>
      <c r="I15" s="3">
        <f t="shared" si="2"/>
        <v>0</v>
      </c>
      <c r="J15" s="3"/>
      <c r="K15" s="4" t="e">
        <f t="shared" si="3"/>
        <v>#DIV/0!</v>
      </c>
    </row>
    <row r="16" spans="1:11" x14ac:dyDescent="0.3">
      <c r="A16" s="2" t="s">
        <v>24</v>
      </c>
      <c r="B16" s="3"/>
      <c r="C16" s="3"/>
      <c r="D16" s="3">
        <f t="shared" si="0"/>
        <v>0</v>
      </c>
      <c r="E16" s="3"/>
      <c r="F16" s="3"/>
      <c r="G16" s="3"/>
      <c r="H16" s="3">
        <f t="shared" si="1"/>
        <v>0</v>
      </c>
      <c r="I16" s="3">
        <f t="shared" si="2"/>
        <v>0</v>
      </c>
      <c r="J16" s="3"/>
      <c r="K16" s="4" t="e">
        <f t="shared" si="3"/>
        <v>#DIV/0!</v>
      </c>
    </row>
    <row r="17" spans="1:11" x14ac:dyDescent="0.3">
      <c r="A17" s="5" t="s">
        <v>25</v>
      </c>
      <c r="B17" s="6">
        <f t="shared" ref="B17:J17" si="4">SUM(B5:B16)</f>
        <v>8100000</v>
      </c>
      <c r="C17" s="6">
        <f t="shared" si="4"/>
        <v>3500000</v>
      </c>
      <c r="D17" s="6">
        <f t="shared" si="4"/>
        <v>11600000</v>
      </c>
      <c r="E17" s="6">
        <f t="shared" si="4"/>
        <v>2200000</v>
      </c>
      <c r="F17" s="6">
        <f t="shared" si="4"/>
        <v>1800000</v>
      </c>
      <c r="G17" s="6">
        <f t="shared" si="4"/>
        <v>900000</v>
      </c>
      <c r="H17" s="6">
        <f t="shared" si="4"/>
        <v>4900000</v>
      </c>
      <c r="I17" s="6">
        <f t="shared" si="4"/>
        <v>16500000</v>
      </c>
      <c r="J17" s="6">
        <f t="shared" si="4"/>
        <v>35700000</v>
      </c>
      <c r="K17" s="7">
        <f t="shared" si="3"/>
        <v>0.46218487394957986</v>
      </c>
    </row>
    <row r="19" spans="1:11" ht="15.6" x14ac:dyDescent="0.3">
      <c r="A19" s="20" t="s">
        <v>26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spans="1:11" x14ac:dyDescent="0.3">
      <c r="A20" s="8" t="s">
        <v>27</v>
      </c>
      <c r="B20" s="8" t="s">
        <v>28</v>
      </c>
      <c r="C20" s="8" t="s">
        <v>29</v>
      </c>
    </row>
    <row r="21" spans="1:11" x14ac:dyDescent="0.3">
      <c r="A21" s="10" t="s">
        <v>30</v>
      </c>
      <c r="B21" s="17" t="s">
        <v>31</v>
      </c>
      <c r="C21" s="11" t="s">
        <v>32</v>
      </c>
      <c r="D21" s="12"/>
      <c r="E21" s="12"/>
      <c r="F21" s="12"/>
      <c r="G21" s="12"/>
      <c r="H21" s="12"/>
      <c r="I21" s="12"/>
      <c r="J21" s="12"/>
      <c r="K21" s="12"/>
    </row>
    <row r="22" spans="1:11" x14ac:dyDescent="0.3">
      <c r="A22" s="10" t="s">
        <v>33</v>
      </c>
      <c r="B22" s="17" t="s">
        <v>34</v>
      </c>
      <c r="C22" s="11" t="s">
        <v>35</v>
      </c>
      <c r="D22" s="12"/>
      <c r="E22" s="12"/>
      <c r="F22" s="12"/>
      <c r="G22" s="12"/>
      <c r="H22" s="12"/>
      <c r="I22" s="12"/>
      <c r="J22" s="12"/>
      <c r="K22" s="12"/>
    </row>
    <row r="23" spans="1:11" x14ac:dyDescent="0.3">
      <c r="A23" s="10" t="s">
        <v>36</v>
      </c>
      <c r="B23" s="17" t="s">
        <v>37</v>
      </c>
      <c r="C23" s="11" t="s">
        <v>38</v>
      </c>
      <c r="D23" s="12"/>
      <c r="E23" s="12"/>
      <c r="F23" s="12"/>
      <c r="G23" s="12"/>
      <c r="H23" s="12"/>
      <c r="I23" s="12"/>
      <c r="J23" s="12"/>
      <c r="K23" s="12"/>
    </row>
    <row r="24" spans="1:11" x14ac:dyDescent="0.3">
      <c r="A24" s="10" t="s">
        <v>39</v>
      </c>
      <c r="B24" s="14" t="s">
        <v>40</v>
      </c>
      <c r="C24" s="11" t="s">
        <v>41</v>
      </c>
      <c r="D24" s="12"/>
      <c r="E24" s="12"/>
      <c r="F24" s="12"/>
      <c r="G24" s="12"/>
      <c r="H24" s="12"/>
      <c r="I24" s="12"/>
      <c r="J24" s="12"/>
      <c r="K24" s="12"/>
    </row>
    <row r="25" spans="1:11" x14ac:dyDescent="0.3">
      <c r="A25" s="10" t="s">
        <v>42</v>
      </c>
      <c r="B25" s="16" t="s">
        <v>43</v>
      </c>
      <c r="C25" s="11" t="s">
        <v>44</v>
      </c>
      <c r="D25" s="12"/>
      <c r="E25" s="12"/>
      <c r="F25" s="12"/>
      <c r="G25" s="12"/>
      <c r="H25" s="12"/>
      <c r="I25" s="12"/>
      <c r="J25" s="12"/>
      <c r="K25" s="12"/>
    </row>
    <row r="26" spans="1:11" x14ac:dyDescent="0.3">
      <c r="A26" s="10" t="s">
        <v>45</v>
      </c>
      <c r="B26" s="16" t="s">
        <v>46</v>
      </c>
      <c r="C26" s="11" t="s">
        <v>47</v>
      </c>
      <c r="D26" s="12"/>
      <c r="E26" s="12"/>
      <c r="F26" s="12"/>
      <c r="G26" s="12"/>
      <c r="H26" s="12"/>
      <c r="I26" s="12"/>
      <c r="J26" s="12"/>
      <c r="K26" s="12"/>
    </row>
    <row r="28" spans="1:11" x14ac:dyDescent="0.3">
      <c r="A28" s="9" t="s">
        <v>48</v>
      </c>
    </row>
    <row r="29" spans="1:11" x14ac:dyDescent="0.3">
      <c r="A29" s="19" t="s">
        <v>49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1:11" x14ac:dyDescent="0.3">
      <c r="A30" s="13" t="s">
        <v>50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</row>
  </sheetData>
  <mergeCells count="23">
    <mergeCell ref="A1:K1"/>
    <mergeCell ref="C21:K21"/>
    <mergeCell ref="B26"/>
    <mergeCell ref="B25"/>
    <mergeCell ref="A24"/>
    <mergeCell ref="C23:K23"/>
    <mergeCell ref="B22"/>
    <mergeCell ref="B21"/>
    <mergeCell ref="A25"/>
    <mergeCell ref="A2:K2"/>
    <mergeCell ref="B23"/>
    <mergeCell ref="C24:K24"/>
    <mergeCell ref="A26"/>
    <mergeCell ref="A21"/>
    <mergeCell ref="A19:K19"/>
    <mergeCell ref="C26:K26"/>
    <mergeCell ref="A22"/>
    <mergeCell ref="C25:K25"/>
    <mergeCell ref="A30:K30"/>
    <mergeCell ref="C22:K22"/>
    <mergeCell ref="B24"/>
    <mergeCell ref="A29:K29"/>
    <mergeCell ref="A23"/>
  </mergeCells>
  <pageMargins left="0.45" right="0.53" top="0.98425196850393704" bottom="0.98425196850393704" header="0.51181102362204722" footer="0.51181102362204722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Prime 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Norman Alfaro Cruz</cp:lastModifiedBy>
  <cp:lastPrinted>2025-11-05T00:47:50Z</cp:lastPrinted>
  <dcterms:created xsi:type="dcterms:W3CDTF">2025-10-28T03:30:24Z</dcterms:created>
  <dcterms:modified xsi:type="dcterms:W3CDTF">2025-11-05T00:47:55Z</dcterms:modified>
</cp:coreProperties>
</file>