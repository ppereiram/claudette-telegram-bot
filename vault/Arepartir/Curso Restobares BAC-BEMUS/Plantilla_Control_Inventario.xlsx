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dminvenegasnexia-my.sharepoint.com/personal/nalfaro_venegasnexia_com/Documents/Documentos 1/Norman Personales/Bemus/Restobares/"/>
    </mc:Choice>
  </mc:AlternateContent>
  <xr:revisionPtr revIDLastSave="1" documentId="11_48258D569255C2FF674378754A5DCE3A67CEAE99" xr6:coauthVersionLast="47" xr6:coauthVersionMax="47" xr10:uidLastSave="{C42FC698-EE99-46C4-BE1C-F814B165A2AB}"/>
  <bookViews>
    <workbookView xWindow="600" yWindow="0" windowWidth="19632" windowHeight="12384" xr2:uid="{00000000-000D-0000-FFFF-FFFF00000000}"/>
  </bookViews>
  <sheets>
    <sheet name="Inventario Mens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K32" i="1"/>
  <c r="L32" i="1" s="1"/>
  <c r="J32" i="1"/>
  <c r="H32" i="1"/>
  <c r="F32" i="1"/>
  <c r="K31" i="1"/>
  <c r="L31" i="1" s="1"/>
  <c r="J31" i="1"/>
  <c r="H31" i="1"/>
  <c r="F31" i="1"/>
  <c r="K30" i="1"/>
  <c r="L30" i="1" s="1"/>
  <c r="J30" i="1"/>
  <c r="H30" i="1"/>
  <c r="F30" i="1"/>
  <c r="L29" i="1"/>
  <c r="K29" i="1"/>
  <c r="J29" i="1"/>
  <c r="H29" i="1"/>
  <c r="F29" i="1"/>
  <c r="K28" i="1"/>
  <c r="L28" i="1" s="1"/>
  <c r="J28" i="1"/>
  <c r="B38" i="1" s="1"/>
  <c r="H28" i="1"/>
  <c r="F28" i="1"/>
  <c r="L27" i="1"/>
  <c r="K27" i="1"/>
  <c r="J27" i="1"/>
  <c r="H27" i="1"/>
  <c r="F27" i="1"/>
  <c r="K26" i="1"/>
  <c r="L26" i="1" s="1"/>
  <c r="J26" i="1"/>
  <c r="H26" i="1"/>
  <c r="F26" i="1"/>
  <c r="L25" i="1"/>
  <c r="K25" i="1"/>
  <c r="J25" i="1"/>
  <c r="H25" i="1"/>
  <c r="F25" i="1"/>
  <c r="K24" i="1"/>
  <c r="L24" i="1" s="1"/>
  <c r="J24" i="1"/>
  <c r="H24" i="1"/>
  <c r="F24" i="1"/>
  <c r="K23" i="1"/>
  <c r="L23" i="1" s="1"/>
  <c r="J23" i="1"/>
  <c r="H23" i="1"/>
  <c r="F23" i="1"/>
  <c r="K22" i="1"/>
  <c r="L22" i="1" s="1"/>
  <c r="J22" i="1"/>
  <c r="H22" i="1"/>
  <c r="F22" i="1"/>
  <c r="K21" i="1"/>
  <c r="L21" i="1" s="1"/>
  <c r="J21" i="1"/>
  <c r="H21" i="1"/>
  <c r="F21" i="1"/>
  <c r="K20" i="1"/>
  <c r="L20" i="1" s="1"/>
  <c r="J20" i="1"/>
  <c r="H20" i="1"/>
  <c r="F20" i="1"/>
  <c r="K19" i="1"/>
  <c r="L19" i="1" s="1"/>
  <c r="J19" i="1"/>
  <c r="H19" i="1"/>
  <c r="F19" i="1"/>
  <c r="K18" i="1"/>
  <c r="L18" i="1" s="1"/>
  <c r="J18" i="1"/>
  <c r="H18" i="1"/>
  <c r="F18" i="1"/>
  <c r="L17" i="1"/>
  <c r="K17" i="1"/>
  <c r="J17" i="1"/>
  <c r="H17" i="1"/>
  <c r="F17" i="1"/>
  <c r="K16" i="1"/>
  <c r="L16" i="1" s="1"/>
  <c r="J16" i="1"/>
  <c r="H16" i="1"/>
  <c r="F16" i="1"/>
  <c r="L15" i="1"/>
  <c r="K15" i="1"/>
  <c r="J15" i="1"/>
  <c r="H15" i="1"/>
  <c r="F15" i="1"/>
  <c r="K14" i="1"/>
  <c r="L14" i="1" s="1"/>
  <c r="J14" i="1"/>
  <c r="H14" i="1"/>
  <c r="F14" i="1"/>
  <c r="L13" i="1"/>
  <c r="K13" i="1"/>
  <c r="J13" i="1"/>
  <c r="H13" i="1"/>
  <c r="F13" i="1"/>
  <c r="K12" i="1"/>
  <c r="L12" i="1" s="1"/>
  <c r="J12" i="1"/>
  <c r="H12" i="1"/>
  <c r="F12" i="1"/>
  <c r="K11" i="1"/>
  <c r="L11" i="1" s="1"/>
  <c r="J11" i="1"/>
  <c r="H11" i="1"/>
  <c r="F11" i="1"/>
  <c r="K10" i="1"/>
  <c r="L10" i="1" s="1"/>
  <c r="J10" i="1"/>
  <c r="H10" i="1"/>
  <c r="F10" i="1"/>
  <c r="K9" i="1"/>
  <c r="L9" i="1" s="1"/>
  <c r="J9" i="1"/>
  <c r="H9" i="1"/>
  <c r="F9" i="1"/>
  <c r="K8" i="1"/>
  <c r="L8" i="1" s="1"/>
  <c r="J8" i="1"/>
  <c r="H8" i="1"/>
  <c r="F8" i="1"/>
  <c r="K7" i="1"/>
  <c r="L7" i="1" s="1"/>
  <c r="J7" i="1"/>
  <c r="H7" i="1"/>
  <c r="F7" i="1"/>
  <c r="K6" i="1"/>
  <c r="L6" i="1" s="1"/>
  <c r="J6" i="1"/>
  <c r="H6" i="1"/>
  <c r="F6" i="1"/>
  <c r="K5" i="1"/>
  <c r="L5" i="1" s="1"/>
  <c r="J5" i="1"/>
  <c r="H5" i="1"/>
  <c r="B37" i="1" s="1"/>
  <c r="F5" i="1"/>
  <c r="B39" i="1" l="1"/>
  <c r="B42" i="1" s="1"/>
  <c r="B45" i="1" s="1"/>
</calcChain>
</file>

<file path=xl/sharedStrings.xml><?xml version="1.0" encoding="utf-8"?>
<sst xmlns="http://schemas.openxmlformats.org/spreadsheetml/2006/main" count="34" uniqueCount="34">
  <si>
    <t>CONTROL DE INVENTARIO MENSUAL</t>
  </si>
  <si>
    <t>MES:</t>
  </si>
  <si>
    <t>AÑO:</t>
  </si>
  <si>
    <t>PRODUCTO</t>
  </si>
  <si>
    <t>CATEGORÍA</t>
  </si>
  <si>
    <t>UNIDAD</t>
  </si>
  <si>
    <t>INV. INICIAL</t>
  </si>
  <si>
    <t>COSTO UNIT. (₡)</t>
  </si>
  <si>
    <t>VALOR INV. INICIAL (₡)</t>
  </si>
  <si>
    <t>COMPRAS</t>
  </si>
  <si>
    <t>VALOR COMPRAS (₡)</t>
  </si>
  <si>
    <t>INV. FINAL</t>
  </si>
  <si>
    <t>VALOR INV. FINAL (₡)</t>
  </si>
  <si>
    <t>USO/CONSUMO</t>
  </si>
  <si>
    <t>COSTO CONSUMO (₡)</t>
  </si>
  <si>
    <t>Pollo (pechuga)</t>
  </si>
  <si>
    <t>Carnes</t>
  </si>
  <si>
    <t>kg</t>
  </si>
  <si>
    <t>Ron Cacique 750ml</t>
  </si>
  <si>
    <t>Licores</t>
  </si>
  <si>
    <t>botella</t>
  </si>
  <si>
    <t>Imperial (caja 24)</t>
  </si>
  <si>
    <t>Cervezas</t>
  </si>
  <si>
    <t>caja</t>
  </si>
  <si>
    <t>RESUMEN DEL PERÍODO</t>
  </si>
  <si>
    <t>TOTAL INVENTARIO INICIAL:</t>
  </si>
  <si>
    <t>TOTAL COMPRAS DEL PERÍODO:</t>
  </si>
  <si>
    <t>TOTAL INVENTARIO FINAL:</t>
  </si>
  <si>
    <t>COSTO TOTAL CONSUMO:</t>
  </si>
  <si>
    <t>VENTAS DEL PERÍODO:</t>
  </si>
  <si>
    <t>FOOD/BEVERAGE COST %:</t>
  </si>
  <si>
    <t>META FOOD COST:</t>
  </si>
  <si>
    <t>0.30</t>
  </si>
  <si>
    <t>DIFERENCIA VS META: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</si>
</sst>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4" fontId="3" fillId="0" borderId="0" xfId="0" applyNumberFormat="1" applyFont="1"/>
    <xf numFmtId="164" fontId="3" fillId="6" borderId="0" xfId="0" applyNumberFormat="1" applyFont="1" applyFill="1"/>
    <xf numFmtId="165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22" workbookViewId="0">
      <selection activeCell="B39" sqref="B39"/>
    </sheetView>
  </sheetViews>
  <sheetFormatPr baseColWidth="10" defaultColWidth="8.88671875" defaultRowHeight="14.4" x14ac:dyDescent="0.3"/>
  <cols>
    <col min="1" max="1" width="26.5546875" customWidth="1"/>
    <col min="2" max="2" width="12" customWidth="1"/>
    <col min="3" max="3" width="10" customWidth="1"/>
    <col min="4" max="12" width="14" customWidth="1"/>
  </cols>
  <sheetData>
    <row r="1" spans="1:12" ht="25.0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t="s">
        <v>1</v>
      </c>
      <c r="B2" s="1"/>
      <c r="D2" t="s">
        <v>2</v>
      </c>
      <c r="E2" s="1"/>
    </row>
    <row r="4" spans="1:12" ht="46.8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</row>
    <row r="5" spans="1:12" x14ac:dyDescent="0.3">
      <c r="A5" s="3" t="s">
        <v>15</v>
      </c>
      <c r="B5" s="3" t="s">
        <v>16</v>
      </c>
      <c r="C5" s="3" t="s">
        <v>17</v>
      </c>
      <c r="D5" s="3">
        <v>50</v>
      </c>
      <c r="E5" s="4">
        <v>8000</v>
      </c>
      <c r="F5" s="4">
        <f t="shared" ref="F5:F32" si="0">D5*E5</f>
        <v>400000</v>
      </c>
      <c r="G5" s="3">
        <v>120</v>
      </c>
      <c r="H5" s="4">
        <f t="shared" ref="H5:H32" si="1">G5*E5</f>
        <v>960000</v>
      </c>
      <c r="I5" s="3">
        <v>35</v>
      </c>
      <c r="J5" s="4">
        <f t="shared" ref="J5:J32" si="2">I5*E5</f>
        <v>280000</v>
      </c>
      <c r="K5" s="3">
        <f t="shared" ref="K5:K32" si="3">D5+G5-I5</f>
        <v>135</v>
      </c>
      <c r="L5" s="4">
        <f t="shared" ref="L5:L32" si="4">K5*E5</f>
        <v>1080000</v>
      </c>
    </row>
    <row r="6" spans="1:12" x14ac:dyDescent="0.3">
      <c r="A6" s="3" t="s">
        <v>18</v>
      </c>
      <c r="B6" s="3" t="s">
        <v>19</v>
      </c>
      <c r="C6" s="3" t="s">
        <v>20</v>
      </c>
      <c r="D6" s="3">
        <v>24</v>
      </c>
      <c r="E6" s="4">
        <v>15000</v>
      </c>
      <c r="F6" s="4">
        <f t="shared" si="0"/>
        <v>360000</v>
      </c>
      <c r="G6" s="3">
        <v>48</v>
      </c>
      <c r="H6" s="4">
        <f t="shared" si="1"/>
        <v>720000</v>
      </c>
      <c r="I6" s="3">
        <v>18</v>
      </c>
      <c r="J6" s="4">
        <f t="shared" si="2"/>
        <v>270000</v>
      </c>
      <c r="K6" s="3">
        <f t="shared" si="3"/>
        <v>54</v>
      </c>
      <c r="L6" s="4">
        <f t="shared" si="4"/>
        <v>810000</v>
      </c>
    </row>
    <row r="7" spans="1:12" x14ac:dyDescent="0.3">
      <c r="A7" s="3" t="s">
        <v>21</v>
      </c>
      <c r="B7" s="3" t="s">
        <v>22</v>
      </c>
      <c r="C7" s="3" t="s">
        <v>23</v>
      </c>
      <c r="D7" s="3">
        <v>10</v>
      </c>
      <c r="E7" s="4">
        <v>18000</v>
      </c>
      <c r="F7" s="4">
        <f t="shared" si="0"/>
        <v>180000</v>
      </c>
      <c r="G7" s="3">
        <v>40</v>
      </c>
      <c r="H7" s="4">
        <f t="shared" si="1"/>
        <v>720000</v>
      </c>
      <c r="I7" s="3">
        <v>8</v>
      </c>
      <c r="J7" s="4">
        <f t="shared" si="2"/>
        <v>144000</v>
      </c>
      <c r="K7" s="3">
        <f t="shared" si="3"/>
        <v>42</v>
      </c>
      <c r="L7" s="4">
        <f t="shared" si="4"/>
        <v>756000</v>
      </c>
    </row>
    <row r="8" spans="1:12" x14ac:dyDescent="0.3">
      <c r="A8" s="3"/>
      <c r="B8" s="3"/>
      <c r="C8" s="3"/>
      <c r="D8" s="3"/>
      <c r="E8" s="4"/>
      <c r="F8" s="4">
        <f t="shared" si="0"/>
        <v>0</v>
      </c>
      <c r="G8" s="3"/>
      <c r="H8" s="4">
        <f t="shared" si="1"/>
        <v>0</v>
      </c>
      <c r="I8" s="3"/>
      <c r="J8" s="4">
        <f t="shared" si="2"/>
        <v>0</v>
      </c>
      <c r="K8" s="3">
        <f t="shared" si="3"/>
        <v>0</v>
      </c>
      <c r="L8" s="4">
        <f t="shared" si="4"/>
        <v>0</v>
      </c>
    </row>
    <row r="9" spans="1:12" x14ac:dyDescent="0.3">
      <c r="A9" s="3"/>
      <c r="B9" s="3"/>
      <c r="C9" s="3"/>
      <c r="D9" s="3"/>
      <c r="E9" s="4"/>
      <c r="F9" s="4">
        <f t="shared" si="0"/>
        <v>0</v>
      </c>
      <c r="G9" s="3"/>
      <c r="H9" s="4">
        <f t="shared" si="1"/>
        <v>0</v>
      </c>
      <c r="I9" s="3"/>
      <c r="J9" s="4">
        <f t="shared" si="2"/>
        <v>0</v>
      </c>
      <c r="K9" s="3">
        <f t="shared" si="3"/>
        <v>0</v>
      </c>
      <c r="L9" s="4">
        <f t="shared" si="4"/>
        <v>0</v>
      </c>
    </row>
    <row r="10" spans="1:12" x14ac:dyDescent="0.3">
      <c r="A10" s="3"/>
      <c r="B10" s="3"/>
      <c r="C10" s="3"/>
      <c r="D10" s="3"/>
      <c r="E10" s="4"/>
      <c r="F10" s="4">
        <f t="shared" si="0"/>
        <v>0</v>
      </c>
      <c r="G10" s="3"/>
      <c r="H10" s="4">
        <f t="shared" si="1"/>
        <v>0</v>
      </c>
      <c r="I10" s="3"/>
      <c r="J10" s="4">
        <f t="shared" si="2"/>
        <v>0</v>
      </c>
      <c r="K10" s="3">
        <f t="shared" si="3"/>
        <v>0</v>
      </c>
      <c r="L10" s="4">
        <f t="shared" si="4"/>
        <v>0</v>
      </c>
    </row>
    <row r="11" spans="1:12" x14ac:dyDescent="0.3">
      <c r="A11" s="3"/>
      <c r="B11" s="3"/>
      <c r="C11" s="3"/>
      <c r="D11" s="3"/>
      <c r="E11" s="4"/>
      <c r="F11" s="4">
        <f t="shared" si="0"/>
        <v>0</v>
      </c>
      <c r="G11" s="3"/>
      <c r="H11" s="4">
        <f t="shared" si="1"/>
        <v>0</v>
      </c>
      <c r="I11" s="3"/>
      <c r="J11" s="4">
        <f t="shared" si="2"/>
        <v>0</v>
      </c>
      <c r="K11" s="3">
        <f t="shared" si="3"/>
        <v>0</v>
      </c>
      <c r="L11" s="4">
        <f t="shared" si="4"/>
        <v>0</v>
      </c>
    </row>
    <row r="12" spans="1:12" x14ac:dyDescent="0.3">
      <c r="A12" s="3"/>
      <c r="B12" s="3"/>
      <c r="C12" s="3"/>
      <c r="D12" s="3"/>
      <c r="E12" s="4"/>
      <c r="F12" s="4">
        <f t="shared" si="0"/>
        <v>0</v>
      </c>
      <c r="G12" s="3"/>
      <c r="H12" s="4">
        <f t="shared" si="1"/>
        <v>0</v>
      </c>
      <c r="I12" s="3"/>
      <c r="J12" s="4">
        <f t="shared" si="2"/>
        <v>0</v>
      </c>
      <c r="K12" s="3">
        <f t="shared" si="3"/>
        <v>0</v>
      </c>
      <c r="L12" s="4">
        <f t="shared" si="4"/>
        <v>0</v>
      </c>
    </row>
    <row r="13" spans="1:12" x14ac:dyDescent="0.3">
      <c r="A13" s="3"/>
      <c r="B13" s="3"/>
      <c r="C13" s="3"/>
      <c r="D13" s="3"/>
      <c r="E13" s="4"/>
      <c r="F13" s="4">
        <f t="shared" si="0"/>
        <v>0</v>
      </c>
      <c r="G13" s="3"/>
      <c r="H13" s="4">
        <f t="shared" si="1"/>
        <v>0</v>
      </c>
      <c r="I13" s="3"/>
      <c r="J13" s="4">
        <f t="shared" si="2"/>
        <v>0</v>
      </c>
      <c r="K13" s="3">
        <f t="shared" si="3"/>
        <v>0</v>
      </c>
      <c r="L13" s="4">
        <f t="shared" si="4"/>
        <v>0</v>
      </c>
    </row>
    <row r="14" spans="1:12" x14ac:dyDescent="0.3">
      <c r="A14" s="3"/>
      <c r="B14" s="3"/>
      <c r="C14" s="3"/>
      <c r="D14" s="3"/>
      <c r="E14" s="4"/>
      <c r="F14" s="4">
        <f t="shared" si="0"/>
        <v>0</v>
      </c>
      <c r="G14" s="3"/>
      <c r="H14" s="4">
        <f t="shared" si="1"/>
        <v>0</v>
      </c>
      <c r="I14" s="3"/>
      <c r="J14" s="4">
        <f t="shared" si="2"/>
        <v>0</v>
      </c>
      <c r="K14" s="3">
        <f t="shared" si="3"/>
        <v>0</v>
      </c>
      <c r="L14" s="4">
        <f t="shared" si="4"/>
        <v>0</v>
      </c>
    </row>
    <row r="15" spans="1:12" x14ac:dyDescent="0.3">
      <c r="A15" s="3"/>
      <c r="B15" s="3"/>
      <c r="C15" s="3"/>
      <c r="D15" s="3"/>
      <c r="E15" s="4"/>
      <c r="F15" s="4">
        <f t="shared" si="0"/>
        <v>0</v>
      </c>
      <c r="G15" s="3"/>
      <c r="H15" s="4">
        <f t="shared" si="1"/>
        <v>0</v>
      </c>
      <c r="I15" s="3"/>
      <c r="J15" s="4">
        <f t="shared" si="2"/>
        <v>0</v>
      </c>
      <c r="K15" s="3">
        <f t="shared" si="3"/>
        <v>0</v>
      </c>
      <c r="L15" s="4">
        <f t="shared" si="4"/>
        <v>0</v>
      </c>
    </row>
    <row r="16" spans="1:12" x14ac:dyDescent="0.3">
      <c r="A16" s="3"/>
      <c r="B16" s="3"/>
      <c r="C16" s="3"/>
      <c r="D16" s="3"/>
      <c r="E16" s="4"/>
      <c r="F16" s="4">
        <f t="shared" si="0"/>
        <v>0</v>
      </c>
      <c r="G16" s="3"/>
      <c r="H16" s="4">
        <f t="shared" si="1"/>
        <v>0</v>
      </c>
      <c r="I16" s="3"/>
      <c r="J16" s="4">
        <f t="shared" si="2"/>
        <v>0</v>
      </c>
      <c r="K16" s="3">
        <f t="shared" si="3"/>
        <v>0</v>
      </c>
      <c r="L16" s="4">
        <f t="shared" si="4"/>
        <v>0</v>
      </c>
    </row>
    <row r="17" spans="1:12" x14ac:dyDescent="0.3">
      <c r="A17" s="3"/>
      <c r="B17" s="3"/>
      <c r="C17" s="3"/>
      <c r="D17" s="3"/>
      <c r="E17" s="4"/>
      <c r="F17" s="4">
        <f t="shared" si="0"/>
        <v>0</v>
      </c>
      <c r="G17" s="3"/>
      <c r="H17" s="4">
        <f t="shared" si="1"/>
        <v>0</v>
      </c>
      <c r="I17" s="3"/>
      <c r="J17" s="4">
        <f t="shared" si="2"/>
        <v>0</v>
      </c>
      <c r="K17" s="3">
        <f t="shared" si="3"/>
        <v>0</v>
      </c>
      <c r="L17" s="4">
        <f t="shared" si="4"/>
        <v>0</v>
      </c>
    </row>
    <row r="18" spans="1:12" x14ac:dyDescent="0.3">
      <c r="A18" s="3"/>
      <c r="B18" s="3"/>
      <c r="C18" s="3"/>
      <c r="D18" s="3"/>
      <c r="E18" s="4"/>
      <c r="F18" s="4">
        <f t="shared" si="0"/>
        <v>0</v>
      </c>
      <c r="G18" s="3"/>
      <c r="H18" s="4">
        <f t="shared" si="1"/>
        <v>0</v>
      </c>
      <c r="I18" s="3"/>
      <c r="J18" s="4">
        <f t="shared" si="2"/>
        <v>0</v>
      </c>
      <c r="K18" s="3">
        <f t="shared" si="3"/>
        <v>0</v>
      </c>
      <c r="L18" s="4">
        <f t="shared" si="4"/>
        <v>0</v>
      </c>
    </row>
    <row r="19" spans="1:12" x14ac:dyDescent="0.3">
      <c r="A19" s="3"/>
      <c r="B19" s="3"/>
      <c r="C19" s="3"/>
      <c r="D19" s="3"/>
      <c r="E19" s="4"/>
      <c r="F19" s="4">
        <f t="shared" si="0"/>
        <v>0</v>
      </c>
      <c r="G19" s="3"/>
      <c r="H19" s="4">
        <f t="shared" si="1"/>
        <v>0</v>
      </c>
      <c r="I19" s="3"/>
      <c r="J19" s="4">
        <f t="shared" si="2"/>
        <v>0</v>
      </c>
      <c r="K19" s="3">
        <f t="shared" si="3"/>
        <v>0</v>
      </c>
      <c r="L19" s="4">
        <f t="shared" si="4"/>
        <v>0</v>
      </c>
    </row>
    <row r="20" spans="1:12" x14ac:dyDescent="0.3">
      <c r="A20" s="3"/>
      <c r="B20" s="3"/>
      <c r="C20" s="3"/>
      <c r="D20" s="3"/>
      <c r="E20" s="4"/>
      <c r="F20" s="4">
        <f t="shared" si="0"/>
        <v>0</v>
      </c>
      <c r="G20" s="3"/>
      <c r="H20" s="4">
        <f t="shared" si="1"/>
        <v>0</v>
      </c>
      <c r="I20" s="3"/>
      <c r="J20" s="4">
        <f t="shared" si="2"/>
        <v>0</v>
      </c>
      <c r="K20" s="3">
        <f t="shared" si="3"/>
        <v>0</v>
      </c>
      <c r="L20" s="4">
        <f t="shared" si="4"/>
        <v>0</v>
      </c>
    </row>
    <row r="21" spans="1:12" x14ac:dyDescent="0.3">
      <c r="A21" s="3"/>
      <c r="B21" s="3"/>
      <c r="C21" s="3"/>
      <c r="D21" s="3"/>
      <c r="E21" s="4"/>
      <c r="F21" s="4">
        <f t="shared" si="0"/>
        <v>0</v>
      </c>
      <c r="G21" s="3"/>
      <c r="H21" s="4">
        <f t="shared" si="1"/>
        <v>0</v>
      </c>
      <c r="I21" s="3"/>
      <c r="J21" s="4">
        <f t="shared" si="2"/>
        <v>0</v>
      </c>
      <c r="K21" s="3">
        <f t="shared" si="3"/>
        <v>0</v>
      </c>
      <c r="L21" s="4">
        <f t="shared" si="4"/>
        <v>0</v>
      </c>
    </row>
    <row r="22" spans="1:12" x14ac:dyDescent="0.3">
      <c r="A22" s="3"/>
      <c r="B22" s="3"/>
      <c r="C22" s="3"/>
      <c r="D22" s="3"/>
      <c r="E22" s="4"/>
      <c r="F22" s="4">
        <f t="shared" si="0"/>
        <v>0</v>
      </c>
      <c r="G22" s="3"/>
      <c r="H22" s="4">
        <f t="shared" si="1"/>
        <v>0</v>
      </c>
      <c r="I22" s="3"/>
      <c r="J22" s="4">
        <f t="shared" si="2"/>
        <v>0</v>
      </c>
      <c r="K22" s="3">
        <f t="shared" si="3"/>
        <v>0</v>
      </c>
      <c r="L22" s="4">
        <f t="shared" si="4"/>
        <v>0</v>
      </c>
    </row>
    <row r="23" spans="1:12" x14ac:dyDescent="0.3">
      <c r="A23" s="3"/>
      <c r="B23" s="3"/>
      <c r="C23" s="3"/>
      <c r="D23" s="3"/>
      <c r="E23" s="4"/>
      <c r="F23" s="4">
        <f t="shared" si="0"/>
        <v>0</v>
      </c>
      <c r="G23" s="3"/>
      <c r="H23" s="4">
        <f t="shared" si="1"/>
        <v>0</v>
      </c>
      <c r="I23" s="3"/>
      <c r="J23" s="4">
        <f t="shared" si="2"/>
        <v>0</v>
      </c>
      <c r="K23" s="3">
        <f t="shared" si="3"/>
        <v>0</v>
      </c>
      <c r="L23" s="4">
        <f t="shared" si="4"/>
        <v>0</v>
      </c>
    </row>
    <row r="24" spans="1:12" x14ac:dyDescent="0.3">
      <c r="A24" s="3"/>
      <c r="B24" s="3"/>
      <c r="C24" s="3"/>
      <c r="D24" s="3"/>
      <c r="E24" s="4"/>
      <c r="F24" s="4">
        <f t="shared" si="0"/>
        <v>0</v>
      </c>
      <c r="G24" s="3"/>
      <c r="H24" s="4">
        <f t="shared" si="1"/>
        <v>0</v>
      </c>
      <c r="I24" s="3"/>
      <c r="J24" s="4">
        <f t="shared" si="2"/>
        <v>0</v>
      </c>
      <c r="K24" s="3">
        <f t="shared" si="3"/>
        <v>0</v>
      </c>
      <c r="L24" s="4">
        <f t="shared" si="4"/>
        <v>0</v>
      </c>
    </row>
    <row r="25" spans="1:12" x14ac:dyDescent="0.3">
      <c r="A25" s="3"/>
      <c r="B25" s="3"/>
      <c r="C25" s="3"/>
      <c r="D25" s="3"/>
      <c r="E25" s="4"/>
      <c r="F25" s="4">
        <f t="shared" si="0"/>
        <v>0</v>
      </c>
      <c r="G25" s="3"/>
      <c r="H25" s="4">
        <f t="shared" si="1"/>
        <v>0</v>
      </c>
      <c r="I25" s="3"/>
      <c r="J25" s="4">
        <f t="shared" si="2"/>
        <v>0</v>
      </c>
      <c r="K25" s="3">
        <f t="shared" si="3"/>
        <v>0</v>
      </c>
      <c r="L25" s="4">
        <f t="shared" si="4"/>
        <v>0</v>
      </c>
    </row>
    <row r="26" spans="1:12" x14ac:dyDescent="0.3">
      <c r="A26" s="3"/>
      <c r="B26" s="3"/>
      <c r="C26" s="3"/>
      <c r="D26" s="3"/>
      <c r="E26" s="4"/>
      <c r="F26" s="4">
        <f t="shared" si="0"/>
        <v>0</v>
      </c>
      <c r="G26" s="3"/>
      <c r="H26" s="4">
        <f t="shared" si="1"/>
        <v>0</v>
      </c>
      <c r="I26" s="3"/>
      <c r="J26" s="4">
        <f t="shared" si="2"/>
        <v>0</v>
      </c>
      <c r="K26" s="3">
        <f t="shared" si="3"/>
        <v>0</v>
      </c>
      <c r="L26" s="4">
        <f t="shared" si="4"/>
        <v>0</v>
      </c>
    </row>
    <row r="27" spans="1:12" x14ac:dyDescent="0.3">
      <c r="A27" s="3"/>
      <c r="B27" s="3"/>
      <c r="C27" s="3"/>
      <c r="D27" s="3"/>
      <c r="E27" s="4"/>
      <c r="F27" s="4">
        <f t="shared" si="0"/>
        <v>0</v>
      </c>
      <c r="G27" s="3"/>
      <c r="H27" s="4">
        <f t="shared" si="1"/>
        <v>0</v>
      </c>
      <c r="I27" s="3"/>
      <c r="J27" s="4">
        <f t="shared" si="2"/>
        <v>0</v>
      </c>
      <c r="K27" s="3">
        <f t="shared" si="3"/>
        <v>0</v>
      </c>
      <c r="L27" s="4">
        <f t="shared" si="4"/>
        <v>0</v>
      </c>
    </row>
    <row r="28" spans="1:12" x14ac:dyDescent="0.3">
      <c r="A28" s="3"/>
      <c r="B28" s="3"/>
      <c r="C28" s="3"/>
      <c r="D28" s="3"/>
      <c r="E28" s="4"/>
      <c r="F28" s="4">
        <f t="shared" si="0"/>
        <v>0</v>
      </c>
      <c r="G28" s="3"/>
      <c r="H28" s="4">
        <f t="shared" si="1"/>
        <v>0</v>
      </c>
      <c r="I28" s="3"/>
      <c r="J28" s="4">
        <f t="shared" si="2"/>
        <v>0</v>
      </c>
      <c r="K28" s="3">
        <f t="shared" si="3"/>
        <v>0</v>
      </c>
      <c r="L28" s="4">
        <f t="shared" si="4"/>
        <v>0</v>
      </c>
    </row>
    <row r="29" spans="1:12" x14ac:dyDescent="0.3">
      <c r="A29" s="3"/>
      <c r="B29" s="3"/>
      <c r="C29" s="3"/>
      <c r="D29" s="3"/>
      <c r="E29" s="4"/>
      <c r="F29" s="4">
        <f t="shared" si="0"/>
        <v>0</v>
      </c>
      <c r="G29" s="3"/>
      <c r="H29" s="4">
        <f t="shared" si="1"/>
        <v>0</v>
      </c>
      <c r="I29" s="3"/>
      <c r="J29" s="4">
        <f t="shared" si="2"/>
        <v>0</v>
      </c>
      <c r="K29" s="3">
        <f t="shared" si="3"/>
        <v>0</v>
      </c>
      <c r="L29" s="4">
        <f t="shared" si="4"/>
        <v>0</v>
      </c>
    </row>
    <row r="30" spans="1:12" x14ac:dyDescent="0.3">
      <c r="A30" s="3"/>
      <c r="B30" s="3"/>
      <c r="C30" s="3"/>
      <c r="D30" s="3"/>
      <c r="E30" s="4"/>
      <c r="F30" s="4">
        <f t="shared" si="0"/>
        <v>0</v>
      </c>
      <c r="G30" s="3"/>
      <c r="H30" s="4">
        <f t="shared" si="1"/>
        <v>0</v>
      </c>
      <c r="I30" s="3"/>
      <c r="J30" s="4">
        <f t="shared" si="2"/>
        <v>0</v>
      </c>
      <c r="K30" s="3">
        <f t="shared" si="3"/>
        <v>0</v>
      </c>
      <c r="L30" s="4">
        <f t="shared" si="4"/>
        <v>0</v>
      </c>
    </row>
    <row r="31" spans="1:12" x14ac:dyDescent="0.3">
      <c r="A31" s="3"/>
      <c r="B31" s="3"/>
      <c r="C31" s="3"/>
      <c r="D31" s="3"/>
      <c r="E31" s="4"/>
      <c r="F31" s="4">
        <f t="shared" si="0"/>
        <v>0</v>
      </c>
      <c r="G31" s="3"/>
      <c r="H31" s="4">
        <f t="shared" si="1"/>
        <v>0</v>
      </c>
      <c r="I31" s="3"/>
      <c r="J31" s="4">
        <f t="shared" si="2"/>
        <v>0</v>
      </c>
      <c r="K31" s="3">
        <f t="shared" si="3"/>
        <v>0</v>
      </c>
      <c r="L31" s="4">
        <f t="shared" si="4"/>
        <v>0</v>
      </c>
    </row>
    <row r="32" spans="1:12" x14ac:dyDescent="0.3">
      <c r="A32" s="3"/>
      <c r="B32" s="3"/>
      <c r="C32" s="3"/>
      <c r="D32" s="3"/>
      <c r="E32" s="4"/>
      <c r="F32" s="4">
        <f t="shared" si="0"/>
        <v>0</v>
      </c>
      <c r="G32" s="3"/>
      <c r="H32" s="4">
        <f t="shared" si="1"/>
        <v>0</v>
      </c>
      <c r="I32" s="3"/>
      <c r="J32" s="4">
        <f t="shared" si="2"/>
        <v>0</v>
      </c>
      <c r="K32" s="3">
        <f t="shared" si="3"/>
        <v>0</v>
      </c>
      <c r="L32" s="4">
        <f t="shared" si="4"/>
        <v>0</v>
      </c>
    </row>
    <row r="35" spans="1:12" ht="15.6" x14ac:dyDescent="0.3">
      <c r="A35" s="11" t="s">
        <v>24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">
      <c r="A36" s="5" t="s">
        <v>25</v>
      </c>
      <c r="B36" s="6">
        <f>SUM(F5:F32)</f>
        <v>940000</v>
      </c>
    </row>
    <row r="37" spans="1:12" x14ac:dyDescent="0.3">
      <c r="A37" s="5" t="s">
        <v>26</v>
      </c>
      <c r="B37" s="6">
        <f>SUM(H5:H32)</f>
        <v>2400000</v>
      </c>
    </row>
    <row r="38" spans="1:12" x14ac:dyDescent="0.3">
      <c r="A38" s="5" t="s">
        <v>27</v>
      </c>
      <c r="B38" s="6">
        <f>SUM(J5:J32)</f>
        <v>694000</v>
      </c>
    </row>
    <row r="39" spans="1:12" x14ac:dyDescent="0.3">
      <c r="A39" s="5" t="s">
        <v>28</v>
      </c>
      <c r="B39" s="7">
        <f>SUM(L5:L32)</f>
        <v>2646000</v>
      </c>
    </row>
    <row r="40" spans="1:12" x14ac:dyDescent="0.3">
      <c r="A40" s="5"/>
    </row>
    <row r="41" spans="1:12" x14ac:dyDescent="0.3">
      <c r="A41" s="5" t="s">
        <v>29</v>
      </c>
    </row>
    <row r="42" spans="1:12" x14ac:dyDescent="0.3">
      <c r="A42" s="5" t="s">
        <v>30</v>
      </c>
      <c r="B42" s="8" t="e">
        <f>B39/B41</f>
        <v>#DIV/0!</v>
      </c>
    </row>
    <row r="43" spans="1:12" x14ac:dyDescent="0.3">
      <c r="A43" s="5"/>
    </row>
    <row r="44" spans="1:12" x14ac:dyDescent="0.3">
      <c r="A44" s="5" t="s">
        <v>31</v>
      </c>
      <c r="B44" s="8" t="s">
        <v>32</v>
      </c>
    </row>
    <row r="45" spans="1:12" x14ac:dyDescent="0.3">
      <c r="A45" s="5" t="s">
        <v>33</v>
      </c>
      <c r="B45" s="8" t="e">
        <f>B42-B44</f>
        <v>#DIV/0!</v>
      </c>
    </row>
  </sheetData>
  <mergeCells count="2">
    <mergeCell ref="A1:L1"/>
    <mergeCell ref="A35:L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Alfaro Cruz</cp:lastModifiedBy>
  <dcterms:created xsi:type="dcterms:W3CDTF">2025-10-28T03:29:39Z</dcterms:created>
  <dcterms:modified xsi:type="dcterms:W3CDTF">2025-11-05T00:24:40Z</dcterms:modified>
</cp:coreProperties>
</file>