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blo\Documents\Obsidian Vault\Arepartir\financiero\presupuestos\"/>
    </mc:Choice>
  </mc:AlternateContent>
  <xr:revisionPtr revIDLastSave="0" documentId="13_ncr:1_{B7957F04-7B78-43FE-8C98-BCFB5EDCA007}" xr6:coauthVersionLast="47" xr6:coauthVersionMax="47" xr10:uidLastSave="{00000000-0000-0000-0000-000000000000}"/>
  <bookViews>
    <workbookView xWindow="14295" yWindow="-16395" windowWidth="29040" windowHeight="16440" tabRatio="500" activeTab="1" xr2:uid="{00000000-000D-0000-FFFF-FFFF00000000}"/>
  </bookViews>
  <sheets>
    <sheet name="PRESUPUESTO_AREPARTIR_No1011(B)" sheetId="1" r:id="rId1"/>
    <sheet name="PRESUPUESTO_AREPARTIR_No101 (A)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12" i="2" l="1"/>
  <c r="F213" i="2"/>
  <c r="F211" i="2"/>
  <c r="F209" i="2"/>
  <c r="F208" i="2"/>
  <c r="F207" i="2"/>
  <c r="F205" i="2"/>
  <c r="F204" i="2"/>
  <c r="F203" i="2"/>
  <c r="F121" i="2"/>
  <c r="F120" i="2"/>
  <c r="F119" i="2"/>
  <c r="F116" i="2"/>
  <c r="F115" i="2"/>
  <c r="F114" i="2"/>
  <c r="F111" i="2"/>
  <c r="F110" i="2"/>
  <c r="F109" i="2"/>
  <c r="F23" i="1"/>
  <c r="F22" i="1"/>
  <c r="F21" i="1"/>
  <c r="F18" i="1"/>
  <c r="F17" i="1"/>
  <c r="F16" i="1"/>
  <c r="F13" i="1"/>
  <c r="F12" i="1"/>
  <c r="F11" i="1"/>
  <c r="F28" i="2"/>
  <c r="F27" i="2"/>
  <c r="F26" i="2"/>
  <c r="F23" i="2"/>
  <c r="F22" i="2"/>
  <c r="F21" i="2"/>
  <c r="F18" i="2"/>
  <c r="F17" i="2"/>
  <c r="F16" i="2"/>
</calcChain>
</file>

<file path=xl/sharedStrings.xml><?xml version="1.0" encoding="utf-8"?>
<sst xmlns="http://schemas.openxmlformats.org/spreadsheetml/2006/main" count="458" uniqueCount="110">
  <si>
    <t>1011-B</t>
  </si>
  <si>
    <t>Proforma</t>
  </si>
  <si>
    <t>Inversiones Las Chamas de Costa Rica S.A.</t>
  </si>
  <si>
    <t>Telf. 7188-7945 / 7015-9848</t>
  </si>
  <si>
    <t>COTIZACION - OPCION 2</t>
  </si>
  <si>
    <t>Direccion: San Rafael de Escazú</t>
  </si>
  <si>
    <t xml:space="preserve">EVENTO: Los precios por persona corresponden a la tarifa de 50, 60 y 70 pax. </t>
  </si>
  <si>
    <t>No.</t>
  </si>
  <si>
    <t>PRODUCTO</t>
  </si>
  <si>
    <t>CANT</t>
  </si>
  <si>
    <t>UND</t>
  </si>
  <si>
    <t>Precio Unit</t>
  </si>
  <si>
    <t>TOTAL</t>
  </si>
  <si>
    <t>PAQUETES POR PERSONA (elegir uno)</t>
  </si>
  <si>
    <t>PAQUETE BASICO</t>
  </si>
  <si>
    <t>Incluye por persona: 1 Arepa regular (sabor a escoger) + 5 Tequenos de queso</t>
  </si>
  <si>
    <t>50 personas</t>
  </si>
  <si>
    <t>PAX</t>
  </si>
  <si>
    <t>60 personas</t>
  </si>
  <si>
    <t>70 personas</t>
  </si>
  <si>
    <t>PAQUETE INTERMEDIO</t>
  </si>
  <si>
    <t>Incluye por persona: 1 Arepa regular (sabor a escoger) + 5 Tequenos de queso + 1 Empanada regular</t>
  </si>
  <si>
    <t>PAQUETE PREMIUM</t>
  </si>
  <si>
    <t>Incluye por persona: 1 Arepa regular (sabor a escoger) + 5 Tequenos de queso + 1 Empanada regular + 1 Postre</t>
  </si>
  <si>
    <t>NOTA: El precio final se ajusta con la cantidad de personas confirmada 5 dias antes del evento.</t>
  </si>
  <si>
    <t>PRODUCTOS DISPONIBLES</t>
  </si>
  <si>
    <t>AREPAS (sabores a escoger hasta 4 opciones)</t>
  </si>
  <si>
    <t>Reina Pepiada</t>
  </si>
  <si>
    <t>Pelua (carne mechada + queso amarillo)</t>
  </si>
  <si>
    <t>Catira (pollo + queso amarillo)</t>
  </si>
  <si>
    <t>Pabellon (carne + frijoles + queso + platano)</t>
  </si>
  <si>
    <t>Domino (frijoles + queso)</t>
  </si>
  <si>
    <t>Queso amarillo</t>
  </si>
  <si>
    <t>Queso blanco</t>
  </si>
  <si>
    <t>Arepa dulce con queso blanco</t>
  </si>
  <si>
    <t>EMPANADAS (sabores a escoger hasta 3 opciones)</t>
  </si>
  <si>
    <t>Pollo</t>
  </si>
  <si>
    <t>Carne mechada</t>
  </si>
  <si>
    <t>Pabellon</t>
  </si>
  <si>
    <t>Cazon (pescado)</t>
  </si>
  <si>
    <t>Domino (frijoles + queso) - NUEVA</t>
  </si>
  <si>
    <t>Jamon ahumado y queso - NUEVA</t>
  </si>
  <si>
    <t>POSTRES (escoger 1 opción)</t>
  </si>
  <si>
    <t>Quesillo tradicional</t>
  </si>
  <si>
    <t>Marquesa de Chocolate</t>
  </si>
  <si>
    <t>Arroz con leche</t>
  </si>
  <si>
    <t>SERVICIO DE CATERING</t>
  </si>
  <si>
    <t>Transporte + 2 operarios (2 horas de servicio incluidas)</t>
  </si>
  <si>
    <t>SERV</t>
  </si>
  <si>
    <t>Operario extra (si se requiere)</t>
  </si>
  <si>
    <t>PERS</t>
  </si>
  <si>
    <t>SIN CATERING - Solo entrega en sitio (SIN COSTO)</t>
  </si>
  <si>
    <t>-</t>
  </si>
  <si>
    <t>SUB-TOTAL (segun paquete y pax confirmados)</t>
  </si>
  <si>
    <t>I.V.A.(0%)*</t>
  </si>
  <si>
    <t>TOTAL (segun paquete y pax confirmados)</t>
  </si>
  <si>
    <t>CONDICIONES</t>
  </si>
  <si>
    <t>*</t>
  </si>
  <si>
    <t>Empresa bajo el regimen de tributacion simplificada (0% IVA)</t>
  </si>
  <si>
    <t>Productos todos cocinados y listos para servir</t>
  </si>
  <si>
    <t>El servicio de catering incluye 2 horas en sitio (despues de las 2 horas costo adicional)</t>
  </si>
  <si>
    <t>Los sabores deben confirmarse con al menos 5 días de anticipación</t>
  </si>
  <si>
    <t>La cantidad de personas debe confirmarse con al menos 5 días de anticipación</t>
  </si>
  <si>
    <t>El cliente deberá proveer espacio y conexión eléctrica para los equipos en caso de contratar el catering presencial</t>
  </si>
  <si>
    <t>Al final del evento los productos no consumidos quedan a disposición del cliente</t>
  </si>
  <si>
    <t>Se requiere 50% de anticipo para reservar la fecha</t>
  </si>
  <si>
    <t>Liliana Luna T.</t>
  </si>
  <si>
    <t>Acepta cliente:</t>
  </si>
  <si>
    <t>Gerente Gral Arepartir</t>
  </si>
  <si>
    <t>Nombre y cedula:</t>
  </si>
  <si>
    <t>7188-7945 / 7015-9848</t>
  </si>
  <si>
    <t>Firma:</t>
  </si>
  <si>
    <t>1011-A</t>
  </si>
  <si>
    <t>COTIZACION - OPCION 1</t>
  </si>
  <si>
    <t>Incluye por persona: 2 Arepitas (sabor a escoger) + 5 Tequeños de queso</t>
  </si>
  <si>
    <t>Incluye por persona: 2 Arepitas (sabor a escoger) + 5 Tequeños de queso + 2 Empanaditas</t>
  </si>
  <si>
    <t>Incluye por persona: 2 Arepitas (sabor a escoger) + 5 Tequeños de queso + 2 Empanaditas + 1 Postre</t>
  </si>
  <si>
    <t>AREPITAS (sabores a escoger hasta 4 opciones)</t>
  </si>
  <si>
    <t>EMPANADITAS (sabores a escoger hasta 3 opciones)</t>
  </si>
  <si>
    <t>Cliente:</t>
  </si>
  <si>
    <t>Fecha:</t>
  </si>
  <si>
    <t>Fecha del evento:</t>
  </si>
  <si>
    <t>Jamón y queso</t>
  </si>
  <si>
    <t>Transferir a: 937845410 Cuenta Colones BAC de Inversiones Las Chamas de Costa Rica S.A.</t>
  </si>
  <si>
    <t>1011-C</t>
  </si>
  <si>
    <t xml:space="preserve">COTIZACION </t>
  </si>
  <si>
    <t xml:space="preserve">EVENTO: Los precios por persona corresponden a la tarifa de 50 pax. </t>
  </si>
  <si>
    <t>Arepitas (precio evento mínimo 50 Unds)</t>
  </si>
  <si>
    <t>Tequeños  (precio evento mínimo 200 Unds)</t>
  </si>
  <si>
    <t>2 /pax</t>
  </si>
  <si>
    <t>4 /pax</t>
  </si>
  <si>
    <t>Empanaditas (precio evento mínimo 50 Unds)</t>
  </si>
  <si>
    <t>OPCION  1</t>
  </si>
  <si>
    <t>OPCION  2</t>
  </si>
  <si>
    <t>Arepa Regular (precio evento mínimo 50 Unds)</t>
  </si>
  <si>
    <t>Empanada regular (precio evento mínimo 50 Unds)</t>
  </si>
  <si>
    <t>1 /pax</t>
  </si>
  <si>
    <t>POSTRES</t>
  </si>
  <si>
    <t xml:space="preserve">Quesillo tradicional </t>
  </si>
  <si>
    <t>Marquesa de chocolate</t>
  </si>
  <si>
    <t>8/pax</t>
  </si>
  <si>
    <t>12/pax</t>
  </si>
  <si>
    <t>Arroz con leche (precio minimo 30 unds)</t>
  </si>
  <si>
    <t>30/pax</t>
  </si>
  <si>
    <t>AREPAS</t>
  </si>
  <si>
    <t xml:space="preserve">EMPANADAS </t>
  </si>
  <si>
    <t>SABORES DISPONIBLES</t>
  </si>
  <si>
    <t>Se requiere 50% de anticipo para reservar la fecha y el 50% restante 24 horas antes del evento</t>
  </si>
  <si>
    <t>La cancelación del evento por parte del cliente ocasionará la pérdida del anticipo</t>
  </si>
  <si>
    <t>Si la cancelación del evento es por parte del restaurant el reembolso es del 100% del anticipo hecho por 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</si>
</sst>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"/>
    <numFmt numFmtId="165" formatCode="_(* #,##0.00_);_(* \(#,##0.00\);_(* \-??_);_(@_)"/>
    <numFmt numFmtId="166" formatCode="_-[$₡-140A]* #,##0.00_-;\-[$₡-140A]* #,##0.00_-;_-[$₡-140A]* \-??_-;_-@_-"/>
    <numFmt numFmtId="168" formatCode="_(* #,##0_);_(* \(#,##0\);_(* \-??_);_(@_)"/>
    <numFmt numFmtId="170" formatCode="_-[$₡-140A]* #,##0_-;\-[$₡-140A]* #,##0_-;_-[$₡-140A]* \-??_-;_-@_-"/>
  </numFmts>
  <fonts count="9" x14ac:knownFonts="1">
    <font>
      <sz val="11"/>
      <color theme="1"/>
      <name val="Calibri"/>
      <family val="2"/>
      <charset val="1"/>
    </font>
    <font>
      <sz val="11"/>
      <name val="Aptos"/>
      <charset val="1"/>
    </font>
    <font>
      <sz val="11"/>
      <name val="Aptos"/>
      <family val="2"/>
    </font>
    <font>
      <i/>
      <sz val="11"/>
      <name val="Aptos"/>
      <family val="2"/>
    </font>
    <font>
      <b/>
      <sz val="11"/>
      <name val="Aptos"/>
      <family val="2"/>
    </font>
    <font>
      <sz val="11"/>
      <color theme="1"/>
      <name val="Aptos"/>
      <family val="2"/>
    </font>
    <font>
      <b/>
      <sz val="11"/>
      <color rgb="FFFF0000"/>
      <name val="Aptos"/>
      <family val="2"/>
    </font>
    <font>
      <b/>
      <sz val="11"/>
      <color theme="0"/>
      <name val="Aptos"/>
      <family val="2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left" vertical="center" wrapText="1"/>
    </xf>
    <xf numFmtId="0" fontId="5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1" xfId="0" applyFont="1" applyBorder="1"/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2" xfId="0" applyFont="1" applyBorder="1"/>
    <xf numFmtId="0" fontId="2" fillId="0" borderId="3" xfId="0" applyFont="1" applyBorder="1" applyAlignment="1">
      <alignment vertical="center" wrapText="1"/>
    </xf>
    <xf numFmtId="0" fontId="5" fillId="0" borderId="4" xfId="0" applyFont="1" applyBorder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  <xf numFmtId="0" fontId="5" fillId="3" borderId="0" xfId="0" applyFont="1" applyFill="1"/>
    <xf numFmtId="0" fontId="6" fillId="3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2" fillId="3" borderId="0" xfId="0" applyFont="1" applyFill="1" applyAlignment="1">
      <alignment horizontal="right"/>
    </xf>
    <xf numFmtId="168" fontId="2" fillId="0" borderId="0" xfId="0" applyNumberFormat="1" applyFont="1" applyAlignment="1">
      <alignment horizontal="center" vertical="center"/>
    </xf>
    <xf numFmtId="170" fontId="2" fillId="0" borderId="0" xfId="0" applyNumberFormat="1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56</xdr:row>
      <xdr:rowOff>28576</xdr:rowOff>
    </xdr:from>
    <xdr:to>
      <xdr:col>1</xdr:col>
      <xdr:colOff>1676400</xdr:colOff>
      <xdr:row>58</xdr:row>
      <xdr:rowOff>161926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3798B82D-C84F-49EB-BB64-F9A01E02B2A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85826" y="11534776"/>
          <a:ext cx="1666874" cy="51435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70</xdr:row>
      <xdr:rowOff>0</xdr:rowOff>
    </xdr:from>
    <xdr:to>
      <xdr:col>1</xdr:col>
      <xdr:colOff>1685925</xdr:colOff>
      <xdr:row>72</xdr:row>
      <xdr:rowOff>171165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95351" y="11315700"/>
          <a:ext cx="1666874" cy="5521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9526</xdr:colOff>
      <xdr:row>166</xdr:row>
      <xdr:rowOff>28576</xdr:rowOff>
    </xdr:from>
    <xdr:to>
      <xdr:col>1</xdr:col>
      <xdr:colOff>1676400</xdr:colOff>
      <xdr:row>168</xdr:row>
      <xdr:rowOff>161926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4997248B-C121-43C5-8304-30334991B6E3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33376" y="11534776"/>
          <a:ext cx="1666874" cy="514350"/>
        </a:xfrm>
        <a:prstGeom prst="rect">
          <a:avLst/>
        </a:prstGeom>
        <a:noFill/>
        <a:ln w="0">
          <a:noFill/>
        </a:ln>
      </xdr:spPr>
    </xdr:pic>
    <xdr:clientData/>
  </xdr:twoCellAnchor>
  <xdr:oneCellAnchor>
    <xdr:from>
      <xdr:col>1</xdr:col>
      <xdr:colOff>9526</xdr:colOff>
      <xdr:row>260</xdr:row>
      <xdr:rowOff>55408</xdr:rowOff>
    </xdr:from>
    <xdr:ext cx="1666874" cy="508983"/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B11187F3-E359-417D-BECA-8EE78B23BE7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65037" y="46358982"/>
          <a:ext cx="1666874" cy="508983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opLeftCell="A53" zoomScaleNormal="100" workbookViewId="0">
      <selection activeCell="B23" sqref="B23"/>
    </sheetView>
  </sheetViews>
  <sheetFormatPr baseColWidth="10" defaultColWidth="8.7109375" defaultRowHeight="15" customHeight="1" x14ac:dyDescent="0.25"/>
  <cols>
    <col min="1" max="1" width="4.85546875" customWidth="1"/>
    <col min="2" max="2" width="37.85546875" customWidth="1"/>
    <col min="4" max="4" width="6.140625" customWidth="1"/>
    <col min="5" max="5" width="18" customWidth="1"/>
    <col min="6" max="6" width="15.5703125" customWidth="1"/>
    <col min="7" max="7" width="8.85546875" customWidth="1"/>
  </cols>
  <sheetData>
    <row r="1" spans="1:6" s="2" customFormat="1" x14ac:dyDescent="0.25">
      <c r="A1" s="3" t="s">
        <v>2</v>
      </c>
      <c r="E1" s="45" t="s">
        <v>3</v>
      </c>
      <c r="F1" s="45"/>
    </row>
    <row r="2" spans="1:6" s="2" customFormat="1" x14ac:dyDescent="0.25">
      <c r="A2" s="4" t="s">
        <v>4</v>
      </c>
      <c r="D2" s="5"/>
      <c r="E2" s="6" t="s">
        <v>1</v>
      </c>
      <c r="F2" s="7" t="s">
        <v>0</v>
      </c>
    </row>
    <row r="3" spans="1:6" s="2" customFormat="1" x14ac:dyDescent="0.25">
      <c r="A3" s="2" t="s">
        <v>79</v>
      </c>
      <c r="E3" s="8" t="s">
        <v>80</v>
      </c>
      <c r="F3" s="9">
        <v>46083</v>
      </c>
    </row>
    <row r="4" spans="1:6" s="2" customFormat="1" x14ac:dyDescent="0.25">
      <c r="A4" s="3" t="s">
        <v>5</v>
      </c>
      <c r="E4" s="8" t="s">
        <v>81</v>
      </c>
      <c r="F4" s="9">
        <v>46096</v>
      </c>
    </row>
    <row r="5" spans="1:6" s="2" customFormat="1" ht="15" customHeight="1" x14ac:dyDescent="0.25"/>
    <row r="6" spans="1:6" s="2" customFormat="1" x14ac:dyDescent="0.25">
      <c r="A6" s="3" t="s">
        <v>6</v>
      </c>
    </row>
    <row r="7" spans="1:6" s="2" customFormat="1" ht="21" customHeight="1" x14ac:dyDescent="0.25">
      <c r="A7" s="11" t="s">
        <v>7</v>
      </c>
      <c r="B7" s="12" t="s">
        <v>8</v>
      </c>
      <c r="C7" s="11" t="s">
        <v>9</v>
      </c>
      <c r="D7" s="11" t="s">
        <v>10</v>
      </c>
      <c r="E7" s="11" t="s">
        <v>11</v>
      </c>
      <c r="F7" s="11" t="s">
        <v>12</v>
      </c>
    </row>
    <row r="8" spans="1:6" s="2" customFormat="1" ht="15" customHeight="1" x14ac:dyDescent="0.25">
      <c r="A8" s="13">
        <v>1</v>
      </c>
      <c r="B8" s="46" t="s">
        <v>13</v>
      </c>
      <c r="C8" s="46"/>
      <c r="D8" s="46"/>
      <c r="E8" s="46"/>
      <c r="F8" s="46"/>
    </row>
    <row r="9" spans="1:6" s="2" customFormat="1" ht="15" customHeight="1" x14ac:dyDescent="0.25">
      <c r="A9" s="15">
        <v>1.1000000000000001</v>
      </c>
      <c r="B9" s="16" t="s">
        <v>14</v>
      </c>
    </row>
    <row r="10" spans="1:6" s="2" customFormat="1" x14ac:dyDescent="0.25">
      <c r="A10" s="8"/>
      <c r="B10" s="42" t="s">
        <v>15</v>
      </c>
      <c r="C10" s="42"/>
      <c r="D10" s="42"/>
      <c r="E10" s="42"/>
      <c r="F10" s="42"/>
    </row>
    <row r="11" spans="1:6" s="2" customFormat="1" ht="15" customHeight="1" x14ac:dyDescent="0.25">
      <c r="A11" s="8"/>
      <c r="B11" s="10" t="s">
        <v>16</v>
      </c>
      <c r="C11" s="17">
        <v>50</v>
      </c>
      <c r="D11" s="18" t="s">
        <v>17</v>
      </c>
      <c r="E11" s="19">
        <v>7000</v>
      </c>
      <c r="F11" s="19">
        <f>C11*E11</f>
        <v>350000</v>
      </c>
    </row>
    <row r="12" spans="1:6" s="2" customFormat="1" ht="15" customHeight="1" x14ac:dyDescent="0.25">
      <c r="A12" s="8"/>
      <c r="B12" s="10" t="s">
        <v>18</v>
      </c>
      <c r="C12" s="17">
        <v>60</v>
      </c>
      <c r="D12" s="18" t="s">
        <v>17</v>
      </c>
      <c r="E12" s="19">
        <v>7000</v>
      </c>
      <c r="F12" s="19">
        <f>C12*E12</f>
        <v>420000</v>
      </c>
    </row>
    <row r="13" spans="1:6" s="2" customFormat="1" ht="15" customHeight="1" x14ac:dyDescent="0.25">
      <c r="A13" s="8"/>
      <c r="B13" s="10" t="s">
        <v>19</v>
      </c>
      <c r="C13" s="17">
        <v>70</v>
      </c>
      <c r="D13" s="18" t="s">
        <v>17</v>
      </c>
      <c r="E13" s="19">
        <v>7000</v>
      </c>
      <c r="F13" s="19">
        <f>C13*E13</f>
        <v>490000</v>
      </c>
    </row>
    <row r="14" spans="1:6" s="2" customFormat="1" ht="15" customHeight="1" x14ac:dyDescent="0.25">
      <c r="A14" s="20">
        <v>1.2</v>
      </c>
      <c r="B14" s="46" t="s">
        <v>20</v>
      </c>
      <c r="C14" s="46"/>
      <c r="D14" s="46"/>
      <c r="E14" s="46"/>
      <c r="F14" s="46"/>
    </row>
    <row r="15" spans="1:6" s="2" customFormat="1" ht="30" customHeight="1" x14ac:dyDescent="0.25">
      <c r="A15" s="8"/>
      <c r="B15" s="43" t="s">
        <v>21</v>
      </c>
      <c r="C15" s="43"/>
      <c r="D15" s="43"/>
      <c r="E15" s="43"/>
      <c r="F15" s="43"/>
    </row>
    <row r="16" spans="1:6" s="2" customFormat="1" x14ac:dyDescent="0.25">
      <c r="A16" s="8"/>
      <c r="B16" s="10" t="s">
        <v>16</v>
      </c>
      <c r="C16" s="17">
        <v>50</v>
      </c>
      <c r="D16" s="18" t="s">
        <v>17</v>
      </c>
      <c r="E16" s="19">
        <v>8750</v>
      </c>
      <c r="F16" s="19">
        <f>C16*E16</f>
        <v>437500</v>
      </c>
    </row>
    <row r="17" spans="1:6" s="2" customFormat="1" ht="15" customHeight="1" x14ac:dyDescent="0.25">
      <c r="A17" s="8"/>
      <c r="B17" s="10" t="s">
        <v>18</v>
      </c>
      <c r="C17" s="17">
        <v>60</v>
      </c>
      <c r="D17" s="18" t="s">
        <v>17</v>
      </c>
      <c r="E17" s="19">
        <v>8750</v>
      </c>
      <c r="F17" s="19">
        <f>C17*E17</f>
        <v>525000</v>
      </c>
    </row>
    <row r="18" spans="1:6" s="2" customFormat="1" x14ac:dyDescent="0.25">
      <c r="A18" s="8"/>
      <c r="B18" s="10" t="s">
        <v>19</v>
      </c>
      <c r="C18" s="17">
        <v>70</v>
      </c>
      <c r="D18" s="18" t="s">
        <v>17</v>
      </c>
      <c r="E18" s="19">
        <v>8750</v>
      </c>
      <c r="F18" s="19">
        <f>C18*E18</f>
        <v>612500</v>
      </c>
    </row>
    <row r="19" spans="1:6" s="2" customFormat="1" ht="15" customHeight="1" x14ac:dyDescent="0.25">
      <c r="A19" s="20">
        <v>1.3</v>
      </c>
      <c r="B19" s="14" t="s">
        <v>22</v>
      </c>
      <c r="C19" s="26"/>
      <c r="D19" s="26"/>
      <c r="E19" s="26"/>
      <c r="F19" s="26"/>
    </row>
    <row r="20" spans="1:6" s="2" customFormat="1" ht="30" customHeight="1" x14ac:dyDescent="0.25">
      <c r="A20" s="8"/>
      <c r="B20" s="42" t="s">
        <v>23</v>
      </c>
      <c r="C20" s="42"/>
      <c r="D20" s="42"/>
      <c r="E20" s="42"/>
      <c r="F20" s="42"/>
    </row>
    <row r="21" spans="1:6" s="2" customFormat="1" ht="15" customHeight="1" x14ac:dyDescent="0.25">
      <c r="B21" s="10" t="s">
        <v>16</v>
      </c>
      <c r="C21" s="17">
        <v>50</v>
      </c>
      <c r="D21" s="18" t="s">
        <v>17</v>
      </c>
      <c r="E21" s="19">
        <v>9500</v>
      </c>
      <c r="F21" s="19">
        <f>C21*E21</f>
        <v>475000</v>
      </c>
    </row>
    <row r="22" spans="1:6" s="2" customFormat="1" ht="15" customHeight="1" x14ac:dyDescent="0.25">
      <c r="B22" s="10" t="s">
        <v>18</v>
      </c>
      <c r="C22" s="17">
        <v>60</v>
      </c>
      <c r="D22" s="18" t="s">
        <v>17</v>
      </c>
      <c r="E22" s="19">
        <v>9500</v>
      </c>
      <c r="F22" s="19">
        <f>C22*E22</f>
        <v>570000</v>
      </c>
    </row>
    <row r="23" spans="1:6" s="2" customFormat="1" ht="15" customHeight="1" x14ac:dyDescent="0.25">
      <c r="B23" s="10" t="s">
        <v>19</v>
      </c>
      <c r="C23" s="17">
        <v>70</v>
      </c>
      <c r="D23" s="18" t="s">
        <v>17</v>
      </c>
      <c r="E23" s="19">
        <v>9500</v>
      </c>
      <c r="F23" s="19">
        <f>C23*E23</f>
        <v>665000</v>
      </c>
    </row>
    <row r="24" spans="1:6" s="2" customFormat="1" ht="30" customHeight="1" x14ac:dyDescent="0.25">
      <c r="B24" s="47" t="s">
        <v>24</v>
      </c>
      <c r="C24" s="47"/>
      <c r="D24" s="47"/>
      <c r="E24" s="47"/>
      <c r="F24" s="47"/>
    </row>
    <row r="25" spans="1:6" s="2" customFormat="1" ht="15" customHeight="1" x14ac:dyDescent="0.25">
      <c r="A25" s="13">
        <v>2</v>
      </c>
      <c r="B25" s="46" t="s">
        <v>25</v>
      </c>
      <c r="C25" s="46"/>
      <c r="D25" s="46"/>
      <c r="E25" s="46"/>
      <c r="F25" s="46"/>
    </row>
    <row r="26" spans="1:6" s="2" customFormat="1" ht="15" customHeight="1" x14ac:dyDescent="0.25">
      <c r="A26" s="15">
        <v>2.1</v>
      </c>
      <c r="B26" s="16" t="s">
        <v>26</v>
      </c>
    </row>
    <row r="27" spans="1:6" s="2" customFormat="1" ht="15" customHeight="1" x14ac:dyDescent="0.25">
      <c r="A27" s="28" t="s">
        <v>57</v>
      </c>
      <c r="B27" s="25" t="s">
        <v>27</v>
      </c>
      <c r="C27" s="25"/>
      <c r="D27" s="28" t="s">
        <v>57</v>
      </c>
      <c r="E27" s="25" t="s">
        <v>82</v>
      </c>
      <c r="F27" s="25"/>
    </row>
    <row r="28" spans="1:6" s="2" customFormat="1" ht="15" customHeight="1" x14ac:dyDescent="0.25">
      <c r="A28" s="28" t="s">
        <v>57</v>
      </c>
      <c r="B28" s="10" t="s">
        <v>28</v>
      </c>
      <c r="D28" s="28" t="s">
        <v>57</v>
      </c>
      <c r="E28" s="25" t="s">
        <v>32</v>
      </c>
      <c r="F28" s="25"/>
    </row>
    <row r="29" spans="1:6" s="2" customFormat="1" ht="15" customHeight="1" x14ac:dyDescent="0.25">
      <c r="A29" s="28" t="s">
        <v>57</v>
      </c>
      <c r="B29" s="25" t="s">
        <v>29</v>
      </c>
      <c r="C29" s="25"/>
      <c r="D29" s="28" t="s">
        <v>57</v>
      </c>
      <c r="E29" s="25" t="s">
        <v>33</v>
      </c>
      <c r="F29" s="25"/>
    </row>
    <row r="30" spans="1:6" s="2" customFormat="1" ht="15" customHeight="1" x14ac:dyDescent="0.25">
      <c r="A30" s="28" t="s">
        <v>57</v>
      </c>
      <c r="B30" s="10" t="s">
        <v>30</v>
      </c>
      <c r="D30" s="28" t="s">
        <v>57</v>
      </c>
      <c r="E30" s="42" t="s">
        <v>34</v>
      </c>
      <c r="F30" s="42"/>
    </row>
    <row r="31" spans="1:6" s="2" customFormat="1" ht="15" customHeight="1" x14ac:dyDescent="0.25">
      <c r="A31" s="28" t="s">
        <v>57</v>
      </c>
      <c r="B31" s="25" t="s">
        <v>31</v>
      </c>
      <c r="C31" s="25"/>
      <c r="D31" s="25"/>
      <c r="E31" s="10"/>
      <c r="F31" s="10"/>
    </row>
    <row r="32" spans="1:6" s="2" customFormat="1" ht="15" customHeight="1" x14ac:dyDescent="0.25">
      <c r="A32" s="15">
        <v>2.2000000000000002</v>
      </c>
      <c r="B32" s="16" t="s">
        <v>35</v>
      </c>
    </row>
    <row r="33" spans="1:6" s="2" customFormat="1" ht="15" customHeight="1" x14ac:dyDescent="0.25">
      <c r="A33" s="28" t="s">
        <v>57</v>
      </c>
      <c r="B33" s="25" t="s">
        <v>36</v>
      </c>
      <c r="C33" s="25"/>
      <c r="D33" s="28" t="s">
        <v>57</v>
      </c>
      <c r="E33" s="10" t="s">
        <v>38</v>
      </c>
      <c r="F33" s="25"/>
    </row>
    <row r="34" spans="1:6" s="2" customFormat="1" ht="15" customHeight="1" x14ac:dyDescent="0.25">
      <c r="A34" s="28" t="s">
        <v>57</v>
      </c>
      <c r="B34" s="10" t="s">
        <v>37</v>
      </c>
      <c r="D34" s="28" t="s">
        <v>57</v>
      </c>
      <c r="E34" s="25" t="s">
        <v>39</v>
      </c>
    </row>
    <row r="35" spans="1:6" s="2" customFormat="1" ht="15" customHeight="1" x14ac:dyDescent="0.25">
      <c r="A35" s="28" t="s">
        <v>57</v>
      </c>
      <c r="B35" s="25" t="s">
        <v>33</v>
      </c>
      <c r="C35" s="25"/>
      <c r="D35" s="28" t="s">
        <v>57</v>
      </c>
      <c r="E35" s="44" t="s">
        <v>40</v>
      </c>
      <c r="F35" s="44"/>
    </row>
    <row r="36" spans="1:6" s="2" customFormat="1" ht="15" customHeight="1" x14ac:dyDescent="0.25">
      <c r="A36" s="28" t="s">
        <v>57</v>
      </c>
      <c r="B36" s="25" t="s">
        <v>41</v>
      </c>
      <c r="C36" s="25"/>
      <c r="D36" s="28"/>
      <c r="E36" s="1"/>
      <c r="F36" s="1"/>
    </row>
    <row r="37" spans="1:6" s="2" customFormat="1" ht="15" customHeight="1" x14ac:dyDescent="0.25">
      <c r="A37" s="15">
        <v>2.2999999999999998</v>
      </c>
      <c r="B37" s="16" t="s">
        <v>42</v>
      </c>
    </row>
    <row r="38" spans="1:6" s="2" customFormat="1" ht="15" customHeight="1" x14ac:dyDescent="0.25">
      <c r="A38" s="28" t="s">
        <v>57</v>
      </c>
      <c r="B38" s="25" t="s">
        <v>43</v>
      </c>
      <c r="C38" s="25"/>
      <c r="D38" s="28" t="s">
        <v>57</v>
      </c>
      <c r="E38" s="42" t="s">
        <v>44</v>
      </c>
      <c r="F38" s="42"/>
    </row>
    <row r="39" spans="1:6" s="2" customFormat="1" ht="15" customHeight="1" x14ac:dyDescent="0.25">
      <c r="A39" s="28" t="s">
        <v>57</v>
      </c>
      <c r="B39" s="25" t="s">
        <v>45</v>
      </c>
      <c r="C39" s="25"/>
      <c r="D39" s="25"/>
      <c r="E39" s="25"/>
      <c r="F39" s="25"/>
    </row>
    <row r="40" spans="1:6" s="2" customFormat="1" ht="15" customHeight="1" x14ac:dyDescent="0.25">
      <c r="A40" s="13">
        <v>3</v>
      </c>
      <c r="B40" s="46" t="s">
        <v>46</v>
      </c>
      <c r="C40" s="46"/>
      <c r="D40" s="46"/>
      <c r="E40" s="46"/>
      <c r="F40" s="46"/>
    </row>
    <row r="41" spans="1:6" s="2" customFormat="1" ht="30" customHeight="1" x14ac:dyDescent="0.25">
      <c r="A41" s="21">
        <v>3.1</v>
      </c>
      <c r="B41" s="10" t="s">
        <v>47</v>
      </c>
      <c r="C41" s="17">
        <v>1</v>
      </c>
      <c r="D41" s="18" t="s">
        <v>48</v>
      </c>
      <c r="E41" s="19">
        <v>75000</v>
      </c>
      <c r="F41" s="19">
        <v>75000</v>
      </c>
    </row>
    <row r="42" spans="1:6" s="2" customFormat="1" ht="15" customHeight="1" x14ac:dyDescent="0.25">
      <c r="A42" s="21">
        <v>3.2</v>
      </c>
      <c r="B42" s="10" t="s">
        <v>49</v>
      </c>
      <c r="C42" s="17">
        <v>1</v>
      </c>
      <c r="D42" s="18" t="s">
        <v>50</v>
      </c>
      <c r="E42" s="19">
        <v>20000</v>
      </c>
      <c r="F42" s="19">
        <v>20000</v>
      </c>
    </row>
    <row r="43" spans="1:6" s="2" customFormat="1" ht="15" customHeight="1" thickBot="1" x14ac:dyDescent="0.3">
      <c r="A43" s="13">
        <v>4</v>
      </c>
      <c r="B43" s="14" t="s">
        <v>51</v>
      </c>
      <c r="C43" s="22">
        <v>1</v>
      </c>
      <c r="D43" s="22"/>
      <c r="E43" s="23" t="s">
        <v>52</v>
      </c>
      <c r="F43" s="24">
        <v>0</v>
      </c>
    </row>
    <row r="44" spans="1:6" s="2" customFormat="1" ht="15" customHeight="1" x14ac:dyDescent="0.25">
      <c r="B44" s="48" t="s">
        <v>53</v>
      </c>
      <c r="C44" s="48"/>
      <c r="D44" s="48"/>
      <c r="E44" s="48"/>
      <c r="F44" s="31"/>
    </row>
    <row r="45" spans="1:6" s="2" customFormat="1" ht="15" customHeight="1" thickBot="1" x14ac:dyDescent="0.3">
      <c r="B45" s="48" t="s">
        <v>54</v>
      </c>
      <c r="C45" s="48"/>
      <c r="D45" s="48"/>
      <c r="E45" s="48"/>
      <c r="F45" s="32"/>
    </row>
    <row r="46" spans="1:6" s="2" customFormat="1" ht="15" customHeight="1" thickBot="1" x14ac:dyDescent="0.3">
      <c r="B46" s="49" t="s">
        <v>55</v>
      </c>
      <c r="C46" s="49"/>
      <c r="D46" s="49"/>
      <c r="E46" s="49"/>
      <c r="F46" s="30"/>
    </row>
    <row r="47" spans="1:6" s="2" customFormat="1" ht="15" customHeight="1" x14ac:dyDescent="0.25">
      <c r="B47" s="16" t="s">
        <v>56</v>
      </c>
    </row>
    <row r="48" spans="1:6" s="2" customFormat="1" x14ac:dyDescent="0.25">
      <c r="A48" s="28" t="s">
        <v>57</v>
      </c>
      <c r="B48" s="42" t="s">
        <v>58</v>
      </c>
      <c r="C48" s="42"/>
      <c r="D48" s="42"/>
      <c r="E48" s="42"/>
      <c r="F48" s="42"/>
    </row>
    <row r="49" spans="1:6" s="2" customFormat="1" ht="15" customHeight="1" x14ac:dyDescent="0.25">
      <c r="A49" s="28" t="s">
        <v>57</v>
      </c>
      <c r="B49" s="42" t="s">
        <v>59</v>
      </c>
      <c r="C49" s="42"/>
      <c r="D49" s="42"/>
      <c r="E49" s="42"/>
      <c r="F49" s="42"/>
    </row>
    <row r="50" spans="1:6" s="2" customFormat="1" x14ac:dyDescent="0.25">
      <c r="A50" s="28" t="s">
        <v>57</v>
      </c>
      <c r="B50" s="42" t="s">
        <v>60</v>
      </c>
      <c r="C50" s="42"/>
      <c r="D50" s="42"/>
      <c r="E50" s="42"/>
      <c r="F50" s="42"/>
    </row>
    <row r="51" spans="1:6" s="2" customFormat="1" x14ac:dyDescent="0.25">
      <c r="A51" s="28" t="s">
        <v>57</v>
      </c>
      <c r="B51" s="42" t="s">
        <v>61</v>
      </c>
      <c r="C51" s="42"/>
      <c r="D51" s="42"/>
      <c r="E51" s="42"/>
      <c r="F51" s="42"/>
    </row>
    <row r="52" spans="1:6" s="2" customFormat="1" x14ac:dyDescent="0.25">
      <c r="A52" s="28" t="s">
        <v>57</v>
      </c>
      <c r="B52" s="42" t="s">
        <v>62</v>
      </c>
      <c r="C52" s="42"/>
      <c r="D52" s="42"/>
      <c r="E52" s="42"/>
      <c r="F52" s="42"/>
    </row>
    <row r="53" spans="1:6" s="2" customFormat="1" x14ac:dyDescent="0.25">
      <c r="A53" s="28" t="s">
        <v>57</v>
      </c>
      <c r="B53" s="42" t="s">
        <v>63</v>
      </c>
      <c r="C53" s="42"/>
      <c r="D53" s="42"/>
      <c r="E53" s="42"/>
      <c r="F53" s="42"/>
    </row>
    <row r="54" spans="1:6" s="2" customFormat="1" x14ac:dyDescent="0.25">
      <c r="A54" s="28" t="s">
        <v>57</v>
      </c>
      <c r="B54" s="42" t="s">
        <v>64</v>
      </c>
      <c r="C54" s="42"/>
      <c r="D54" s="42"/>
      <c r="E54" s="42"/>
      <c r="F54" s="42"/>
    </row>
    <row r="55" spans="1:6" s="2" customFormat="1" ht="15" customHeight="1" x14ac:dyDescent="0.25">
      <c r="A55" s="28" t="s">
        <v>57</v>
      </c>
      <c r="B55" s="42" t="s">
        <v>65</v>
      </c>
      <c r="C55" s="42"/>
      <c r="D55" s="42"/>
      <c r="E55" s="42"/>
      <c r="F55" s="42"/>
    </row>
    <row r="56" spans="1:6" s="2" customFormat="1" ht="15" customHeight="1" x14ac:dyDescent="0.25">
      <c r="A56" s="28"/>
      <c r="B56" s="10"/>
      <c r="C56" s="10"/>
      <c r="D56" s="10"/>
      <c r="E56" s="10"/>
      <c r="F56" s="10"/>
    </row>
    <row r="57" spans="1:6" s="2" customFormat="1" ht="15" customHeight="1" x14ac:dyDescent="0.25">
      <c r="A57" s="28"/>
      <c r="B57" s="10"/>
      <c r="C57" s="10"/>
      <c r="D57" s="10"/>
      <c r="E57" s="10"/>
      <c r="F57" s="10"/>
    </row>
    <row r="58" spans="1:6" s="2" customFormat="1" ht="15" customHeight="1" x14ac:dyDescent="0.25"/>
    <row r="59" spans="1:6" s="2" customFormat="1" ht="15" customHeight="1" x14ac:dyDescent="0.25"/>
    <row r="60" spans="1:6" s="2" customFormat="1" ht="15" customHeight="1" x14ac:dyDescent="0.25">
      <c r="B60" s="10" t="s">
        <v>66</v>
      </c>
      <c r="E60" s="29" t="s">
        <v>67</v>
      </c>
    </row>
    <row r="61" spans="1:6" s="2" customFormat="1" ht="15" customHeight="1" x14ac:dyDescent="0.25">
      <c r="B61" s="10" t="s">
        <v>68</v>
      </c>
      <c r="E61" s="29" t="s">
        <v>69</v>
      </c>
    </row>
    <row r="62" spans="1:6" s="2" customFormat="1" x14ac:dyDescent="0.25">
      <c r="B62" s="10" t="s">
        <v>70</v>
      </c>
      <c r="E62" s="29" t="s">
        <v>71</v>
      </c>
    </row>
    <row r="63" spans="1:6" s="2" customFormat="1" ht="15" customHeight="1" x14ac:dyDescent="0.25"/>
    <row r="64" spans="1:6" s="2" customFormat="1" ht="15" customHeight="1" x14ac:dyDescent="0.25">
      <c r="A64" s="42" t="s">
        <v>83</v>
      </c>
      <c r="B64" s="42"/>
      <c r="C64" s="42"/>
      <c r="D64" s="42"/>
      <c r="E64" s="42"/>
      <c r="F64" s="42"/>
    </row>
  </sheetData>
  <mergeCells count="24">
    <mergeCell ref="B46:E46"/>
    <mergeCell ref="B48:F48"/>
    <mergeCell ref="B49:F49"/>
    <mergeCell ref="E1:F1"/>
    <mergeCell ref="B8:F8"/>
    <mergeCell ref="B10:F10"/>
    <mergeCell ref="B14:F14"/>
    <mergeCell ref="B20:F20"/>
    <mergeCell ref="B55:F55"/>
    <mergeCell ref="A64:F64"/>
    <mergeCell ref="B15:F15"/>
    <mergeCell ref="E35:F35"/>
    <mergeCell ref="B50:F50"/>
    <mergeCell ref="B51:F51"/>
    <mergeCell ref="B52:F52"/>
    <mergeCell ref="B53:F53"/>
    <mergeCell ref="B54:F54"/>
    <mergeCell ref="B24:F24"/>
    <mergeCell ref="B25:F25"/>
    <mergeCell ref="E30:F30"/>
    <mergeCell ref="E38:F38"/>
    <mergeCell ref="B40:F40"/>
    <mergeCell ref="B44:E44"/>
    <mergeCell ref="B45:E45"/>
  </mergeCells>
  <pageMargins left="0.75" right="0.75" top="1" bottom="1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7:F268"/>
  <sheetViews>
    <sheetView tabSelected="1" view="pageLayout" topLeftCell="A229" zoomScale="87" zoomScaleNormal="100" zoomScalePageLayoutView="87" workbookViewId="0">
      <selection activeCell="A190" sqref="A190:F268"/>
    </sheetView>
  </sheetViews>
  <sheetFormatPr baseColWidth="10" defaultColWidth="8.7109375" defaultRowHeight="15" customHeight="1" x14ac:dyDescent="0.25"/>
  <cols>
    <col min="1" max="1" width="4.85546875" style="2" customWidth="1"/>
    <col min="2" max="2" width="43.5703125" style="2" customWidth="1"/>
    <col min="3" max="3" width="8.7109375" style="2"/>
    <col min="4" max="4" width="7.28515625" style="53" bestFit="1" customWidth="1"/>
    <col min="5" max="5" width="18.42578125" style="2" customWidth="1"/>
    <col min="6" max="6" width="15.85546875" style="2" customWidth="1"/>
    <col min="7" max="7" width="8.85546875" style="2" customWidth="1"/>
    <col min="8" max="16384" width="8.7109375" style="2"/>
  </cols>
  <sheetData>
    <row r="7" spans="1:6" x14ac:dyDescent="0.25">
      <c r="A7" s="33" t="s">
        <v>2</v>
      </c>
      <c r="B7" s="33"/>
      <c r="C7" s="33"/>
      <c r="D7" s="36"/>
      <c r="E7" s="50" t="s">
        <v>3</v>
      </c>
      <c r="F7" s="50"/>
    </row>
    <row r="8" spans="1:6" x14ac:dyDescent="0.25">
      <c r="A8" s="35" t="s">
        <v>73</v>
      </c>
      <c r="B8" s="33"/>
      <c r="C8" s="33"/>
      <c r="D8" s="36"/>
      <c r="E8" s="34" t="s">
        <v>1</v>
      </c>
      <c r="F8" s="37" t="s">
        <v>72</v>
      </c>
    </row>
    <row r="9" spans="1:6" x14ac:dyDescent="0.25">
      <c r="A9" s="33" t="s">
        <v>79</v>
      </c>
      <c r="B9" s="33"/>
      <c r="C9" s="33"/>
      <c r="D9" s="36"/>
      <c r="E9" s="34" t="s">
        <v>80</v>
      </c>
      <c r="F9" s="38">
        <v>46083</v>
      </c>
    </row>
    <row r="10" spans="1:6" x14ac:dyDescent="0.25">
      <c r="A10" s="33" t="s">
        <v>5</v>
      </c>
      <c r="B10" s="33"/>
      <c r="C10" s="33"/>
      <c r="D10" s="36"/>
      <c r="E10" s="34" t="s">
        <v>81</v>
      </c>
      <c r="F10" s="38">
        <v>46096</v>
      </c>
    </row>
    <row r="11" spans="1:6" ht="15" customHeight="1" x14ac:dyDescent="0.25">
      <c r="A11" s="33" t="s">
        <v>6</v>
      </c>
      <c r="B11" s="33"/>
      <c r="C11" s="33"/>
      <c r="D11" s="36"/>
      <c r="E11" s="33"/>
      <c r="F11" s="33"/>
    </row>
    <row r="12" spans="1:6" ht="21" customHeight="1" x14ac:dyDescent="0.25">
      <c r="A12" s="11" t="s">
        <v>7</v>
      </c>
      <c r="B12" s="12" t="s">
        <v>8</v>
      </c>
      <c r="C12" s="11" t="s">
        <v>9</v>
      </c>
      <c r="D12" s="11" t="s">
        <v>10</v>
      </c>
      <c r="E12" s="11" t="s">
        <v>11</v>
      </c>
      <c r="F12" s="11" t="s">
        <v>12</v>
      </c>
    </row>
    <row r="13" spans="1:6" ht="15" customHeight="1" x14ac:dyDescent="0.25">
      <c r="A13" s="13">
        <v>1</v>
      </c>
      <c r="B13" s="46" t="s">
        <v>13</v>
      </c>
      <c r="C13" s="46"/>
      <c r="D13" s="46"/>
      <c r="E13" s="46"/>
      <c r="F13" s="46"/>
    </row>
    <row r="14" spans="1:6" ht="15" customHeight="1" x14ac:dyDescent="0.25">
      <c r="A14" s="15">
        <v>1.1000000000000001</v>
      </c>
      <c r="B14" s="16" t="s">
        <v>14</v>
      </c>
    </row>
    <row r="15" spans="1:6" x14ac:dyDescent="0.25">
      <c r="A15" s="8"/>
      <c r="B15" s="42" t="s">
        <v>74</v>
      </c>
      <c r="C15" s="42"/>
      <c r="D15" s="42"/>
      <c r="E15" s="42"/>
      <c r="F15" s="42"/>
    </row>
    <row r="16" spans="1:6" ht="15" customHeight="1" x14ac:dyDescent="0.25">
      <c r="A16" s="8"/>
      <c r="B16" s="10" t="s">
        <v>16</v>
      </c>
      <c r="C16" s="17">
        <v>50</v>
      </c>
      <c r="D16" s="18" t="s">
        <v>17</v>
      </c>
      <c r="E16" s="19">
        <v>7150</v>
      </c>
      <c r="F16" s="19">
        <f>C16*E16</f>
        <v>357500</v>
      </c>
    </row>
    <row r="17" spans="1:6" ht="15" customHeight="1" x14ac:dyDescent="0.25">
      <c r="A17" s="8"/>
      <c r="B17" s="10" t="s">
        <v>18</v>
      </c>
      <c r="C17" s="17">
        <v>60</v>
      </c>
      <c r="D17" s="18" t="s">
        <v>17</v>
      </c>
      <c r="E17" s="19">
        <v>7150</v>
      </c>
      <c r="F17" s="19">
        <f>C17*E17</f>
        <v>429000</v>
      </c>
    </row>
    <row r="18" spans="1:6" ht="15" customHeight="1" x14ac:dyDescent="0.25">
      <c r="A18" s="8"/>
      <c r="B18" s="10" t="s">
        <v>19</v>
      </c>
      <c r="C18" s="17">
        <v>70</v>
      </c>
      <c r="D18" s="18" t="s">
        <v>17</v>
      </c>
      <c r="E18" s="19">
        <v>7150</v>
      </c>
      <c r="F18" s="19">
        <f>C18*E18</f>
        <v>500500</v>
      </c>
    </row>
    <row r="19" spans="1:6" ht="15" customHeight="1" x14ac:dyDescent="0.25">
      <c r="A19" s="20">
        <v>1.2</v>
      </c>
      <c r="B19" s="46" t="s">
        <v>20</v>
      </c>
      <c r="C19" s="46"/>
      <c r="D19" s="46"/>
      <c r="E19" s="46"/>
      <c r="F19" s="46"/>
    </row>
    <row r="20" spans="1:6" x14ac:dyDescent="0.25">
      <c r="A20" s="8"/>
      <c r="B20" s="43" t="s">
        <v>75</v>
      </c>
      <c r="C20" s="43"/>
      <c r="D20" s="43"/>
      <c r="E20" s="43"/>
      <c r="F20" s="43"/>
    </row>
    <row r="21" spans="1:6" x14ac:dyDescent="0.25">
      <c r="A21" s="8"/>
      <c r="B21" s="10" t="s">
        <v>16</v>
      </c>
      <c r="C21" s="17">
        <v>50</v>
      </c>
      <c r="D21" s="18" t="s">
        <v>17</v>
      </c>
      <c r="E21" s="19">
        <v>9000</v>
      </c>
      <c r="F21" s="19">
        <f>C21*E21</f>
        <v>450000</v>
      </c>
    </row>
    <row r="22" spans="1:6" ht="15" customHeight="1" x14ac:dyDescent="0.25">
      <c r="A22" s="8"/>
      <c r="B22" s="10" t="s">
        <v>18</v>
      </c>
      <c r="C22" s="17">
        <v>60</v>
      </c>
      <c r="D22" s="18" t="s">
        <v>17</v>
      </c>
      <c r="E22" s="19">
        <v>9000</v>
      </c>
      <c r="F22" s="19">
        <f>C22*E22</f>
        <v>540000</v>
      </c>
    </row>
    <row r="23" spans="1:6" x14ac:dyDescent="0.25">
      <c r="A23" s="8"/>
      <c r="B23" s="10" t="s">
        <v>19</v>
      </c>
      <c r="C23" s="17">
        <v>70</v>
      </c>
      <c r="D23" s="18" t="s">
        <v>17</v>
      </c>
      <c r="E23" s="19">
        <v>9000</v>
      </c>
      <c r="F23" s="19">
        <f>C23*E23</f>
        <v>630000</v>
      </c>
    </row>
    <row r="24" spans="1:6" ht="15" customHeight="1" x14ac:dyDescent="0.25">
      <c r="A24" s="20">
        <v>1.3</v>
      </c>
      <c r="B24" s="14" t="s">
        <v>22</v>
      </c>
      <c r="C24" s="26"/>
      <c r="D24" s="54"/>
      <c r="E24" s="26"/>
      <c r="F24" s="26"/>
    </row>
    <row r="25" spans="1:6" ht="30" customHeight="1" x14ac:dyDescent="0.25">
      <c r="A25" s="8"/>
      <c r="B25" s="42" t="s">
        <v>76</v>
      </c>
      <c r="C25" s="42"/>
      <c r="D25" s="42"/>
      <c r="E25" s="42"/>
      <c r="F25" s="42"/>
    </row>
    <row r="26" spans="1:6" ht="15" customHeight="1" x14ac:dyDescent="0.25">
      <c r="B26" s="10" t="s">
        <v>16</v>
      </c>
      <c r="C26" s="17">
        <v>50</v>
      </c>
      <c r="D26" s="18" t="s">
        <v>17</v>
      </c>
      <c r="E26" s="19">
        <v>10900</v>
      </c>
      <c r="F26" s="19">
        <f>C26*E26</f>
        <v>545000</v>
      </c>
    </row>
    <row r="27" spans="1:6" ht="15" customHeight="1" x14ac:dyDescent="0.25">
      <c r="B27" s="10" t="s">
        <v>18</v>
      </c>
      <c r="C27" s="17">
        <v>60</v>
      </c>
      <c r="D27" s="18" t="s">
        <v>17</v>
      </c>
      <c r="E27" s="19">
        <v>10900</v>
      </c>
      <c r="F27" s="19">
        <f>C27*E27</f>
        <v>654000</v>
      </c>
    </row>
    <row r="28" spans="1:6" ht="15" customHeight="1" x14ac:dyDescent="0.25">
      <c r="B28" s="10" t="s">
        <v>19</v>
      </c>
      <c r="C28" s="17">
        <v>70</v>
      </c>
      <c r="D28" s="18" t="s">
        <v>17</v>
      </c>
      <c r="E28" s="19">
        <v>10900</v>
      </c>
      <c r="F28" s="19">
        <f>C28*E28</f>
        <v>763000</v>
      </c>
    </row>
    <row r="29" spans="1:6" ht="30" customHeight="1" x14ac:dyDescent="0.25">
      <c r="B29" s="47" t="s">
        <v>24</v>
      </c>
      <c r="C29" s="47"/>
      <c r="D29" s="47"/>
      <c r="E29" s="47"/>
      <c r="F29" s="47"/>
    </row>
    <row r="30" spans="1:6" ht="15" customHeight="1" x14ac:dyDescent="0.25">
      <c r="A30" s="13">
        <v>2</v>
      </c>
      <c r="B30" s="46" t="s">
        <v>25</v>
      </c>
      <c r="C30" s="46"/>
      <c r="D30" s="46"/>
      <c r="E30" s="46"/>
      <c r="F30" s="46"/>
    </row>
    <row r="31" spans="1:6" ht="15" customHeight="1" x14ac:dyDescent="0.25">
      <c r="A31" s="15">
        <v>2.1</v>
      </c>
      <c r="B31" s="16" t="s">
        <v>77</v>
      </c>
    </row>
    <row r="32" spans="1:6" ht="15" customHeight="1" x14ac:dyDescent="0.25">
      <c r="A32" s="28" t="s">
        <v>57</v>
      </c>
      <c r="B32" s="25" t="s">
        <v>27</v>
      </c>
      <c r="C32" s="25"/>
      <c r="D32" s="28" t="s">
        <v>57</v>
      </c>
      <c r="E32" s="25" t="s">
        <v>82</v>
      </c>
      <c r="F32" s="25"/>
    </row>
    <row r="33" spans="1:6" ht="15" customHeight="1" x14ac:dyDescent="0.25">
      <c r="A33" s="28" t="s">
        <v>57</v>
      </c>
      <c r="B33" s="10" t="s">
        <v>28</v>
      </c>
      <c r="D33" s="28" t="s">
        <v>57</v>
      </c>
      <c r="E33" s="25" t="s">
        <v>32</v>
      </c>
      <c r="F33" s="25"/>
    </row>
    <row r="34" spans="1:6" ht="15" customHeight="1" x14ac:dyDescent="0.25">
      <c r="A34" s="28" t="s">
        <v>57</v>
      </c>
      <c r="B34" s="25" t="s">
        <v>29</v>
      </c>
      <c r="C34" s="25"/>
      <c r="D34" s="28" t="s">
        <v>57</v>
      </c>
      <c r="E34" s="25" t="s">
        <v>33</v>
      </c>
      <c r="F34" s="25"/>
    </row>
    <row r="35" spans="1:6" ht="15" customHeight="1" x14ac:dyDescent="0.25">
      <c r="A35" s="28" t="s">
        <v>57</v>
      </c>
      <c r="B35" s="10" t="s">
        <v>30</v>
      </c>
      <c r="D35" s="28" t="s">
        <v>57</v>
      </c>
      <c r="E35" s="42" t="s">
        <v>34</v>
      </c>
      <c r="F35" s="42"/>
    </row>
    <row r="36" spans="1:6" ht="15" customHeight="1" x14ac:dyDescent="0.25">
      <c r="A36" s="28" t="s">
        <v>57</v>
      </c>
      <c r="B36" s="25" t="s">
        <v>31</v>
      </c>
      <c r="C36" s="25"/>
      <c r="D36" s="55"/>
      <c r="E36" s="10"/>
      <c r="F36" s="10"/>
    </row>
    <row r="37" spans="1:6" ht="15" customHeight="1" x14ac:dyDescent="0.25">
      <c r="A37" s="15">
        <v>2.2000000000000002</v>
      </c>
      <c r="B37" s="16" t="s">
        <v>78</v>
      </c>
    </row>
    <row r="38" spans="1:6" ht="15" customHeight="1" x14ac:dyDescent="0.25">
      <c r="A38" s="28" t="s">
        <v>57</v>
      </c>
      <c r="B38" s="25" t="s">
        <v>36</v>
      </c>
      <c r="C38" s="25"/>
      <c r="D38" s="28" t="s">
        <v>57</v>
      </c>
      <c r="E38" s="10" t="s">
        <v>38</v>
      </c>
      <c r="F38" s="25"/>
    </row>
    <row r="39" spans="1:6" ht="15" customHeight="1" x14ac:dyDescent="0.25">
      <c r="A39" s="28" t="s">
        <v>57</v>
      </c>
      <c r="B39" s="10" t="s">
        <v>37</v>
      </c>
      <c r="D39" s="28" t="s">
        <v>57</v>
      </c>
      <c r="E39" s="25" t="s">
        <v>39</v>
      </c>
    </row>
    <row r="40" spans="1:6" ht="15" customHeight="1" x14ac:dyDescent="0.25">
      <c r="A40" s="28" t="s">
        <v>57</v>
      </c>
      <c r="B40" s="25" t="s">
        <v>33</v>
      </c>
      <c r="C40" s="25"/>
      <c r="D40" s="55"/>
      <c r="F40" s="25"/>
    </row>
    <row r="41" spans="1:6" ht="15" customHeight="1" x14ac:dyDescent="0.25">
      <c r="A41" s="15">
        <v>2.2999999999999998</v>
      </c>
      <c r="B41" s="16" t="s">
        <v>42</v>
      </c>
    </row>
    <row r="42" spans="1:6" ht="15" customHeight="1" x14ac:dyDescent="0.25">
      <c r="A42" s="28" t="s">
        <v>57</v>
      </c>
      <c r="B42" s="25" t="s">
        <v>43</v>
      </c>
      <c r="C42" s="25"/>
      <c r="D42" s="28" t="s">
        <v>57</v>
      </c>
      <c r="E42" s="42" t="s">
        <v>44</v>
      </c>
      <c r="F42" s="42"/>
    </row>
    <row r="43" spans="1:6" ht="15" customHeight="1" x14ac:dyDescent="0.25">
      <c r="A43" s="28" t="s">
        <v>57</v>
      </c>
      <c r="B43" s="25" t="s">
        <v>45</v>
      </c>
      <c r="C43" s="25"/>
      <c r="D43" s="55"/>
      <c r="E43" s="25"/>
      <c r="F43" s="25"/>
    </row>
    <row r="44" spans="1:6" ht="15" customHeight="1" x14ac:dyDescent="0.25">
      <c r="A44" s="28"/>
      <c r="B44" s="25"/>
      <c r="C44" s="25"/>
      <c r="D44" s="55"/>
      <c r="E44" s="25"/>
      <c r="F44" s="25"/>
    </row>
    <row r="45" spans="1:6" ht="15" customHeight="1" x14ac:dyDescent="0.25">
      <c r="A45" s="28"/>
      <c r="B45" s="25"/>
      <c r="C45" s="25"/>
      <c r="D45" s="55"/>
      <c r="E45" s="25"/>
      <c r="F45" s="25"/>
    </row>
    <row r="46" spans="1:6" ht="15" customHeight="1" x14ac:dyDescent="0.25">
      <c r="A46" s="28"/>
      <c r="B46" s="25"/>
      <c r="C46" s="25"/>
      <c r="D46" s="55"/>
      <c r="E46" s="25"/>
      <c r="F46" s="25"/>
    </row>
    <row r="47" spans="1:6" ht="15" customHeight="1" x14ac:dyDescent="0.25">
      <c r="A47" s="28"/>
      <c r="B47" s="25"/>
      <c r="C47" s="25"/>
      <c r="D47" s="55"/>
      <c r="E47" s="25"/>
      <c r="F47" s="25"/>
    </row>
    <row r="48" spans="1:6" ht="15" customHeight="1" x14ac:dyDescent="0.25">
      <c r="A48" s="28"/>
      <c r="B48" s="25"/>
      <c r="C48" s="25"/>
      <c r="D48" s="55"/>
      <c r="E48" s="25"/>
      <c r="F48" s="25"/>
    </row>
    <row r="49" spans="1:6" ht="15" customHeight="1" x14ac:dyDescent="0.25">
      <c r="A49" s="28"/>
      <c r="B49" s="25"/>
      <c r="C49" s="25"/>
      <c r="D49" s="55"/>
      <c r="E49" s="25"/>
      <c r="F49" s="25"/>
    </row>
    <row r="50" spans="1:6" ht="15" customHeight="1" x14ac:dyDescent="0.25">
      <c r="A50" s="28"/>
      <c r="B50" s="25"/>
      <c r="C50" s="25"/>
      <c r="D50" s="55"/>
      <c r="E50" s="25"/>
      <c r="F50" s="25"/>
    </row>
    <row r="51" spans="1:6" ht="15" customHeight="1" x14ac:dyDescent="0.25">
      <c r="A51" s="28"/>
      <c r="B51" s="25"/>
      <c r="C51" s="25"/>
      <c r="D51" s="55"/>
      <c r="E51" s="25"/>
      <c r="F51" s="25"/>
    </row>
    <row r="52" spans="1:6" ht="15" customHeight="1" x14ac:dyDescent="0.25">
      <c r="A52" s="28"/>
      <c r="B52" s="25"/>
      <c r="C52" s="25"/>
      <c r="D52" s="55"/>
      <c r="E52" s="25"/>
      <c r="F52" s="25"/>
    </row>
    <row r="53" spans="1:6" ht="15" customHeight="1" x14ac:dyDescent="0.25">
      <c r="A53" s="28"/>
      <c r="B53" s="25"/>
      <c r="C53" s="25"/>
      <c r="D53" s="55"/>
      <c r="E53" s="25"/>
      <c r="F53" s="25"/>
    </row>
    <row r="54" spans="1:6" ht="15" customHeight="1" x14ac:dyDescent="0.25">
      <c r="A54" s="13">
        <v>3</v>
      </c>
      <c r="B54" s="46" t="s">
        <v>46</v>
      </c>
      <c r="C54" s="46"/>
      <c r="D54" s="46"/>
      <c r="E54" s="46"/>
      <c r="F54" s="46"/>
    </row>
    <row r="55" spans="1:6" ht="30" customHeight="1" x14ac:dyDescent="0.25">
      <c r="A55" s="21">
        <v>3.1</v>
      </c>
      <c r="B55" s="10" t="s">
        <v>47</v>
      </c>
      <c r="C55" s="17">
        <v>1</v>
      </c>
      <c r="D55" s="18" t="s">
        <v>48</v>
      </c>
      <c r="E55" s="19">
        <v>75000</v>
      </c>
      <c r="F55" s="19">
        <v>75000</v>
      </c>
    </row>
    <row r="56" spans="1:6" ht="15" customHeight="1" x14ac:dyDescent="0.25">
      <c r="A56" s="21">
        <v>3.2</v>
      </c>
      <c r="B56" s="10" t="s">
        <v>49</v>
      </c>
      <c r="C56" s="17">
        <v>1</v>
      </c>
      <c r="D56" s="18" t="s">
        <v>50</v>
      </c>
      <c r="E56" s="19">
        <v>20000</v>
      </c>
      <c r="F56" s="19">
        <v>20000</v>
      </c>
    </row>
    <row r="57" spans="1:6" ht="15" customHeight="1" thickBot="1" x14ac:dyDescent="0.3">
      <c r="A57" s="13">
        <v>4</v>
      </c>
      <c r="B57" s="14" t="s">
        <v>51</v>
      </c>
      <c r="C57" s="22">
        <v>1</v>
      </c>
      <c r="D57" s="22"/>
      <c r="E57" s="23" t="s">
        <v>52</v>
      </c>
      <c r="F57" s="24">
        <v>0</v>
      </c>
    </row>
    <row r="58" spans="1:6" ht="15" customHeight="1" x14ac:dyDescent="0.25">
      <c r="B58" s="48" t="s">
        <v>53</v>
      </c>
      <c r="C58" s="48"/>
      <c r="D58" s="48"/>
      <c r="E58" s="48"/>
      <c r="F58" s="31"/>
    </row>
    <row r="59" spans="1:6" ht="15" customHeight="1" thickBot="1" x14ac:dyDescent="0.3">
      <c r="B59" s="48" t="s">
        <v>54</v>
      </c>
      <c r="C59" s="48"/>
      <c r="D59" s="48"/>
      <c r="E59" s="48"/>
      <c r="F59" s="32"/>
    </row>
    <row r="60" spans="1:6" ht="15" customHeight="1" thickBot="1" x14ac:dyDescent="0.3">
      <c r="B60" s="49" t="s">
        <v>55</v>
      </c>
      <c r="C60" s="49"/>
      <c r="D60" s="49"/>
      <c r="E60" s="49"/>
      <c r="F60" s="30"/>
    </row>
    <row r="61" spans="1:6" ht="15" customHeight="1" x14ac:dyDescent="0.25">
      <c r="B61" s="16" t="s">
        <v>56</v>
      </c>
    </row>
    <row r="62" spans="1:6" x14ac:dyDescent="0.25">
      <c r="A62" s="28" t="s">
        <v>57</v>
      </c>
      <c r="B62" s="42" t="s">
        <v>58</v>
      </c>
      <c r="C62" s="42"/>
      <c r="D62" s="42"/>
      <c r="E62" s="42"/>
      <c r="F62" s="42"/>
    </row>
    <row r="63" spans="1:6" ht="15" customHeight="1" x14ac:dyDescent="0.25">
      <c r="A63" s="28" t="s">
        <v>57</v>
      </c>
      <c r="B63" s="42" t="s">
        <v>59</v>
      </c>
      <c r="C63" s="42"/>
      <c r="D63" s="42"/>
      <c r="E63" s="42"/>
      <c r="F63" s="42"/>
    </row>
    <row r="64" spans="1:6" x14ac:dyDescent="0.25">
      <c r="A64" s="28" t="s">
        <v>57</v>
      </c>
      <c r="B64" s="42" t="s">
        <v>60</v>
      </c>
      <c r="C64" s="42"/>
      <c r="D64" s="42"/>
      <c r="E64" s="42"/>
      <c r="F64" s="42"/>
    </row>
    <row r="65" spans="1:6" x14ac:dyDescent="0.25">
      <c r="A65" s="28" t="s">
        <v>57</v>
      </c>
      <c r="B65" s="42" t="s">
        <v>61</v>
      </c>
      <c r="C65" s="42"/>
      <c r="D65" s="42"/>
      <c r="E65" s="42"/>
      <c r="F65" s="42"/>
    </row>
    <row r="66" spans="1:6" x14ac:dyDescent="0.25">
      <c r="A66" s="28" t="s">
        <v>57</v>
      </c>
      <c r="B66" s="42" t="s">
        <v>62</v>
      </c>
      <c r="C66" s="42"/>
      <c r="D66" s="42"/>
      <c r="E66" s="42"/>
      <c r="F66" s="42"/>
    </row>
    <row r="67" spans="1:6" x14ac:dyDescent="0.25">
      <c r="A67" s="28" t="s">
        <v>57</v>
      </c>
      <c r="B67" s="42" t="s">
        <v>63</v>
      </c>
      <c r="C67" s="42"/>
      <c r="D67" s="42"/>
      <c r="E67" s="42"/>
      <c r="F67" s="42"/>
    </row>
    <row r="68" spans="1:6" x14ac:dyDescent="0.25">
      <c r="A68" s="28" t="s">
        <v>57</v>
      </c>
      <c r="B68" s="42" t="s">
        <v>64</v>
      </c>
      <c r="C68" s="42"/>
      <c r="D68" s="42"/>
      <c r="E68" s="42"/>
      <c r="F68" s="42"/>
    </row>
    <row r="69" spans="1:6" ht="15" customHeight="1" x14ac:dyDescent="0.25">
      <c r="A69" s="28" t="s">
        <v>57</v>
      </c>
      <c r="B69" s="42" t="s">
        <v>65</v>
      </c>
      <c r="C69" s="42"/>
      <c r="D69" s="42"/>
      <c r="E69" s="42"/>
      <c r="F69" s="42"/>
    </row>
    <row r="70" spans="1:6" ht="15" customHeight="1" x14ac:dyDescent="0.25">
      <c r="A70" s="28"/>
      <c r="B70" s="10"/>
      <c r="C70" s="10"/>
      <c r="D70" s="55"/>
      <c r="E70" s="10"/>
      <c r="F70" s="10"/>
    </row>
    <row r="71" spans="1:6" ht="15" customHeight="1" x14ac:dyDescent="0.25">
      <c r="A71" s="28"/>
      <c r="B71" s="10"/>
      <c r="C71" s="10"/>
      <c r="D71" s="55"/>
      <c r="E71" s="10"/>
      <c r="F71" s="10"/>
    </row>
    <row r="74" spans="1:6" ht="15" customHeight="1" x14ac:dyDescent="0.25">
      <c r="B74" s="10" t="s">
        <v>66</v>
      </c>
      <c r="E74" s="29" t="s">
        <v>67</v>
      </c>
    </row>
    <row r="75" spans="1:6" ht="15" customHeight="1" x14ac:dyDescent="0.25">
      <c r="B75" s="10" t="s">
        <v>68</v>
      </c>
      <c r="E75" s="29" t="s">
        <v>69</v>
      </c>
    </row>
    <row r="76" spans="1:6" x14ac:dyDescent="0.25">
      <c r="B76" s="10" t="s">
        <v>70</v>
      </c>
      <c r="E76" s="29" t="s">
        <v>71</v>
      </c>
    </row>
    <row r="78" spans="1:6" ht="15" customHeight="1" x14ac:dyDescent="0.25">
      <c r="A78" s="42" t="s">
        <v>83</v>
      </c>
      <c r="B78" s="42"/>
      <c r="C78" s="42"/>
      <c r="D78" s="42"/>
      <c r="E78" s="42"/>
      <c r="F78" s="42"/>
    </row>
    <row r="100" spans="1:6" ht="15" customHeight="1" x14ac:dyDescent="0.25">
      <c r="A100" s="33" t="s">
        <v>2</v>
      </c>
      <c r="B100" s="39"/>
      <c r="C100" s="39"/>
      <c r="D100" s="56"/>
      <c r="E100" s="50" t="s">
        <v>3</v>
      </c>
      <c r="F100" s="50"/>
    </row>
    <row r="101" spans="1:6" ht="15" customHeight="1" x14ac:dyDescent="0.25">
      <c r="A101" s="35" t="s">
        <v>4</v>
      </c>
      <c r="B101" s="39"/>
      <c r="C101" s="39"/>
      <c r="D101" s="36"/>
      <c r="E101" s="34" t="s">
        <v>1</v>
      </c>
      <c r="F101" s="40" t="s">
        <v>0</v>
      </c>
    </row>
    <row r="102" spans="1:6" ht="15" customHeight="1" x14ac:dyDescent="0.25">
      <c r="A102" s="39" t="s">
        <v>79</v>
      </c>
      <c r="B102" s="39"/>
      <c r="C102" s="39"/>
      <c r="D102" s="56"/>
      <c r="E102" s="41" t="s">
        <v>80</v>
      </c>
      <c r="F102" s="38">
        <v>46083</v>
      </c>
    </row>
    <row r="103" spans="1:6" ht="15" customHeight="1" x14ac:dyDescent="0.25">
      <c r="A103" s="33" t="s">
        <v>5</v>
      </c>
      <c r="B103" s="39"/>
      <c r="C103" s="39"/>
      <c r="D103" s="56"/>
      <c r="E103" s="41" t="s">
        <v>81</v>
      </c>
      <c r="F103" s="38">
        <v>46096</v>
      </c>
    </row>
    <row r="104" spans="1:6" ht="15" customHeight="1" x14ac:dyDescent="0.25">
      <c r="A104" s="33" t="s">
        <v>6</v>
      </c>
      <c r="B104" s="39"/>
      <c r="C104" s="39"/>
      <c r="D104" s="56"/>
      <c r="E104" s="39"/>
      <c r="F104" s="39"/>
    </row>
    <row r="105" spans="1:6" ht="15" customHeight="1" x14ac:dyDescent="0.25">
      <c r="A105" s="11" t="s">
        <v>7</v>
      </c>
      <c r="B105" s="12" t="s">
        <v>8</v>
      </c>
      <c r="C105" s="11" t="s">
        <v>9</v>
      </c>
      <c r="D105" s="11" t="s">
        <v>10</v>
      </c>
      <c r="E105" s="11" t="s">
        <v>11</v>
      </c>
      <c r="F105" s="11" t="s">
        <v>12</v>
      </c>
    </row>
    <row r="106" spans="1:6" ht="15" customHeight="1" x14ac:dyDescent="0.25">
      <c r="A106" s="13">
        <v>1</v>
      </c>
      <c r="B106" s="46" t="s">
        <v>13</v>
      </c>
      <c r="C106" s="46"/>
      <c r="D106" s="46"/>
      <c r="E106" s="46"/>
      <c r="F106" s="46"/>
    </row>
    <row r="107" spans="1:6" ht="15" customHeight="1" x14ac:dyDescent="0.25">
      <c r="A107" s="15">
        <v>1.1000000000000001</v>
      </c>
      <c r="B107" s="16" t="s">
        <v>14</v>
      </c>
    </row>
    <row r="108" spans="1:6" ht="15" customHeight="1" x14ac:dyDescent="0.25">
      <c r="A108" s="8"/>
      <c r="B108" s="42" t="s">
        <v>15</v>
      </c>
      <c r="C108" s="42"/>
      <c r="D108" s="42"/>
      <c r="E108" s="42"/>
      <c r="F108" s="42"/>
    </row>
    <row r="109" spans="1:6" ht="15" customHeight="1" x14ac:dyDescent="0.25">
      <c r="A109" s="8"/>
      <c r="B109" s="10" t="s">
        <v>16</v>
      </c>
      <c r="C109" s="17">
        <v>50</v>
      </c>
      <c r="D109" s="18" t="s">
        <v>17</v>
      </c>
      <c r="E109" s="19">
        <v>7000</v>
      </c>
      <c r="F109" s="19">
        <f>C109*E109</f>
        <v>350000</v>
      </c>
    </row>
    <row r="110" spans="1:6" ht="15" customHeight="1" x14ac:dyDescent="0.25">
      <c r="A110" s="8"/>
      <c r="B110" s="10" t="s">
        <v>18</v>
      </c>
      <c r="C110" s="17">
        <v>60</v>
      </c>
      <c r="D110" s="18" t="s">
        <v>17</v>
      </c>
      <c r="E110" s="19">
        <v>7000</v>
      </c>
      <c r="F110" s="19">
        <f>C110*E110</f>
        <v>420000</v>
      </c>
    </row>
    <row r="111" spans="1:6" ht="15" customHeight="1" x14ac:dyDescent="0.25">
      <c r="A111" s="8"/>
      <c r="B111" s="10" t="s">
        <v>19</v>
      </c>
      <c r="C111" s="17">
        <v>70</v>
      </c>
      <c r="D111" s="18" t="s">
        <v>17</v>
      </c>
      <c r="E111" s="19">
        <v>7000</v>
      </c>
      <c r="F111" s="19">
        <f>C111*E111</f>
        <v>490000</v>
      </c>
    </row>
    <row r="112" spans="1:6" ht="15" customHeight="1" x14ac:dyDescent="0.25">
      <c r="A112" s="20">
        <v>1.2</v>
      </c>
      <c r="B112" s="46" t="s">
        <v>20</v>
      </c>
      <c r="C112" s="46"/>
      <c r="D112" s="46"/>
      <c r="E112" s="46"/>
      <c r="F112" s="46"/>
    </row>
    <row r="113" spans="1:6" ht="15" customHeight="1" x14ac:dyDescent="0.25">
      <c r="A113" s="8"/>
      <c r="B113" s="43" t="s">
        <v>21</v>
      </c>
      <c r="C113" s="43"/>
      <c r="D113" s="43"/>
      <c r="E113" s="43"/>
      <c r="F113" s="43"/>
    </row>
    <row r="114" spans="1:6" ht="15" customHeight="1" x14ac:dyDescent="0.25">
      <c r="A114" s="8"/>
      <c r="B114" s="10" t="s">
        <v>16</v>
      </c>
      <c r="C114" s="17">
        <v>50</v>
      </c>
      <c r="D114" s="18" t="s">
        <v>17</v>
      </c>
      <c r="E114" s="19">
        <v>8750</v>
      </c>
      <c r="F114" s="19">
        <f>C114*E114</f>
        <v>437500</v>
      </c>
    </row>
    <row r="115" spans="1:6" ht="15" customHeight="1" x14ac:dyDescent="0.25">
      <c r="A115" s="8"/>
      <c r="B115" s="10" t="s">
        <v>18</v>
      </c>
      <c r="C115" s="17">
        <v>60</v>
      </c>
      <c r="D115" s="18" t="s">
        <v>17</v>
      </c>
      <c r="E115" s="19">
        <v>8750</v>
      </c>
      <c r="F115" s="19">
        <f>C115*E115</f>
        <v>525000</v>
      </c>
    </row>
    <row r="116" spans="1:6" ht="15" customHeight="1" x14ac:dyDescent="0.25">
      <c r="A116" s="8"/>
      <c r="B116" s="10" t="s">
        <v>19</v>
      </c>
      <c r="C116" s="17">
        <v>70</v>
      </c>
      <c r="D116" s="18" t="s">
        <v>17</v>
      </c>
      <c r="E116" s="19">
        <v>8750</v>
      </c>
      <c r="F116" s="19">
        <f>C116*E116</f>
        <v>612500</v>
      </c>
    </row>
    <row r="117" spans="1:6" ht="15" customHeight="1" x14ac:dyDescent="0.25">
      <c r="A117" s="20">
        <v>1.3</v>
      </c>
      <c r="B117" s="14" t="s">
        <v>22</v>
      </c>
      <c r="C117" s="26"/>
      <c r="D117" s="54"/>
      <c r="E117" s="26"/>
      <c r="F117" s="26"/>
    </row>
    <row r="118" spans="1:6" ht="15" customHeight="1" x14ac:dyDescent="0.25">
      <c r="A118" s="8"/>
      <c r="B118" s="42" t="s">
        <v>23</v>
      </c>
      <c r="C118" s="42"/>
      <c r="D118" s="42"/>
      <c r="E118" s="42"/>
      <c r="F118" s="42"/>
    </row>
    <row r="119" spans="1:6" ht="15" customHeight="1" x14ac:dyDescent="0.25">
      <c r="B119" s="10" t="s">
        <v>16</v>
      </c>
      <c r="C119" s="17">
        <v>50</v>
      </c>
      <c r="D119" s="18" t="s">
        <v>17</v>
      </c>
      <c r="E119" s="19">
        <v>9500</v>
      </c>
      <c r="F119" s="19">
        <f>C119*E119</f>
        <v>475000</v>
      </c>
    </row>
    <row r="120" spans="1:6" ht="15" customHeight="1" x14ac:dyDescent="0.25">
      <c r="B120" s="10" t="s">
        <v>18</v>
      </c>
      <c r="C120" s="17">
        <v>60</v>
      </c>
      <c r="D120" s="18" t="s">
        <v>17</v>
      </c>
      <c r="E120" s="19">
        <v>9500</v>
      </c>
      <c r="F120" s="19">
        <f>C120*E120</f>
        <v>570000</v>
      </c>
    </row>
    <row r="121" spans="1:6" ht="15" customHeight="1" x14ac:dyDescent="0.25">
      <c r="B121" s="10" t="s">
        <v>19</v>
      </c>
      <c r="C121" s="17">
        <v>70</v>
      </c>
      <c r="D121" s="18" t="s">
        <v>17</v>
      </c>
      <c r="E121" s="19">
        <v>9500</v>
      </c>
      <c r="F121" s="19">
        <f>C121*E121</f>
        <v>665000</v>
      </c>
    </row>
    <row r="122" spans="1:6" ht="15" customHeight="1" x14ac:dyDescent="0.25">
      <c r="B122" s="47" t="s">
        <v>24</v>
      </c>
      <c r="C122" s="47"/>
      <c r="D122" s="47"/>
      <c r="E122" s="47"/>
      <c r="F122" s="47"/>
    </row>
    <row r="123" spans="1:6" ht="15" customHeight="1" x14ac:dyDescent="0.25">
      <c r="A123" s="13">
        <v>2</v>
      </c>
      <c r="B123" s="46" t="s">
        <v>25</v>
      </c>
      <c r="C123" s="46"/>
      <c r="D123" s="46"/>
      <c r="E123" s="46"/>
      <c r="F123" s="46"/>
    </row>
    <row r="124" spans="1:6" ht="15" customHeight="1" x14ac:dyDescent="0.25">
      <c r="A124" s="15">
        <v>2.1</v>
      </c>
      <c r="B124" s="16" t="s">
        <v>26</v>
      </c>
    </row>
    <row r="125" spans="1:6" ht="15" customHeight="1" x14ac:dyDescent="0.25">
      <c r="A125" s="28" t="s">
        <v>57</v>
      </c>
      <c r="B125" s="25" t="s">
        <v>27</v>
      </c>
      <c r="C125" s="25"/>
      <c r="D125" s="28" t="s">
        <v>57</v>
      </c>
      <c r="E125" s="25" t="s">
        <v>82</v>
      </c>
      <c r="F125" s="25"/>
    </row>
    <row r="126" spans="1:6" ht="15" customHeight="1" x14ac:dyDescent="0.25">
      <c r="A126" s="28" t="s">
        <v>57</v>
      </c>
      <c r="B126" s="10" t="s">
        <v>28</v>
      </c>
      <c r="D126" s="28" t="s">
        <v>57</v>
      </c>
      <c r="E126" s="25" t="s">
        <v>32</v>
      </c>
      <c r="F126" s="25"/>
    </row>
    <row r="127" spans="1:6" ht="15" customHeight="1" x14ac:dyDescent="0.25">
      <c r="A127" s="28" t="s">
        <v>57</v>
      </c>
      <c r="B127" s="25" t="s">
        <v>29</v>
      </c>
      <c r="C127" s="25"/>
      <c r="D127" s="28" t="s">
        <v>57</v>
      </c>
      <c r="E127" s="25" t="s">
        <v>33</v>
      </c>
      <c r="F127" s="25"/>
    </row>
    <row r="128" spans="1:6" ht="15" customHeight="1" x14ac:dyDescent="0.25">
      <c r="A128" s="28" t="s">
        <v>57</v>
      </c>
      <c r="B128" s="10" t="s">
        <v>30</v>
      </c>
      <c r="D128" s="28" t="s">
        <v>57</v>
      </c>
      <c r="E128" s="42" t="s">
        <v>34</v>
      </c>
      <c r="F128" s="42"/>
    </row>
    <row r="129" spans="1:6" ht="15" customHeight="1" x14ac:dyDescent="0.25">
      <c r="A129" s="28" t="s">
        <v>57</v>
      </c>
      <c r="B129" s="25" t="s">
        <v>31</v>
      </c>
      <c r="C129" s="25"/>
      <c r="D129" s="55"/>
      <c r="E129" s="10"/>
      <c r="F129" s="10"/>
    </row>
    <row r="130" spans="1:6" ht="15" customHeight="1" x14ac:dyDescent="0.25">
      <c r="A130" s="15">
        <v>2.2000000000000002</v>
      </c>
      <c r="B130" s="16" t="s">
        <v>35</v>
      </c>
    </row>
    <row r="131" spans="1:6" ht="15" customHeight="1" x14ac:dyDescent="0.25">
      <c r="A131" s="28" t="s">
        <v>57</v>
      </c>
      <c r="B131" s="25" t="s">
        <v>36</v>
      </c>
      <c r="C131" s="25"/>
      <c r="D131" s="28" t="s">
        <v>57</v>
      </c>
      <c r="E131" s="10" t="s">
        <v>38</v>
      </c>
      <c r="F131" s="25"/>
    </row>
    <row r="132" spans="1:6" ht="15" customHeight="1" x14ac:dyDescent="0.25">
      <c r="A132" s="28" t="s">
        <v>57</v>
      </c>
      <c r="B132" s="10" t="s">
        <v>37</v>
      </c>
      <c r="D132" s="28" t="s">
        <v>57</v>
      </c>
      <c r="E132" s="25" t="s">
        <v>39</v>
      </c>
    </row>
    <row r="133" spans="1:6" ht="15" customHeight="1" x14ac:dyDescent="0.25">
      <c r="A133" s="28" t="s">
        <v>57</v>
      </c>
      <c r="B133" s="25" t="s">
        <v>33</v>
      </c>
      <c r="C133" s="25"/>
      <c r="D133" s="28" t="s">
        <v>57</v>
      </c>
      <c r="E133" s="44" t="s">
        <v>40</v>
      </c>
      <c r="F133" s="44"/>
    </row>
    <row r="134" spans="1:6" ht="15" customHeight="1" x14ac:dyDescent="0.25">
      <c r="A134" s="28" t="s">
        <v>57</v>
      </c>
      <c r="B134" s="25" t="s">
        <v>41</v>
      </c>
      <c r="C134" s="25"/>
      <c r="D134" s="28"/>
      <c r="E134" s="1"/>
      <c r="F134" s="1"/>
    </row>
    <row r="135" spans="1:6" ht="15" customHeight="1" x14ac:dyDescent="0.25">
      <c r="A135" s="15">
        <v>2.2999999999999998</v>
      </c>
      <c r="B135" s="16" t="s">
        <v>42</v>
      </c>
    </row>
    <row r="136" spans="1:6" ht="15" customHeight="1" x14ac:dyDescent="0.25">
      <c r="A136" s="28" t="s">
        <v>57</v>
      </c>
      <c r="B136" s="25" t="s">
        <v>43</v>
      </c>
      <c r="C136" s="25"/>
      <c r="D136" s="28" t="s">
        <v>57</v>
      </c>
      <c r="E136" s="42" t="s">
        <v>44</v>
      </c>
      <c r="F136" s="42"/>
    </row>
    <row r="137" spans="1:6" ht="15" customHeight="1" x14ac:dyDescent="0.25">
      <c r="A137" s="28" t="s">
        <v>57</v>
      </c>
      <c r="B137" s="25" t="s">
        <v>45</v>
      </c>
      <c r="C137" s="25"/>
      <c r="D137" s="55"/>
      <c r="E137" s="25"/>
      <c r="F137" s="25"/>
    </row>
    <row r="138" spans="1:6" ht="15" customHeight="1" x14ac:dyDescent="0.25">
      <c r="A138" s="28"/>
      <c r="B138" s="25"/>
      <c r="C138" s="25"/>
      <c r="D138" s="55"/>
      <c r="E138" s="25"/>
      <c r="F138" s="25"/>
    </row>
    <row r="139" spans="1:6" ht="15" customHeight="1" x14ac:dyDescent="0.25">
      <c r="A139" s="28"/>
      <c r="B139" s="25"/>
      <c r="C139" s="25"/>
      <c r="D139" s="55"/>
      <c r="E139" s="25"/>
      <c r="F139" s="25"/>
    </row>
    <row r="140" spans="1:6" ht="15" customHeight="1" x14ac:dyDescent="0.25">
      <c r="A140" s="28"/>
      <c r="B140" s="25"/>
      <c r="C140" s="25"/>
      <c r="D140" s="55"/>
      <c r="E140" s="25"/>
      <c r="F140" s="25"/>
    </row>
    <row r="141" spans="1:6" ht="15" customHeight="1" x14ac:dyDescent="0.25">
      <c r="A141" s="28"/>
      <c r="B141" s="25"/>
      <c r="C141" s="25"/>
      <c r="D141" s="55"/>
      <c r="E141" s="25"/>
      <c r="F141" s="25"/>
    </row>
    <row r="142" spans="1:6" ht="15" customHeight="1" x14ac:dyDescent="0.25">
      <c r="A142" s="28"/>
      <c r="B142" s="25"/>
      <c r="C142" s="25"/>
      <c r="D142" s="55"/>
      <c r="E142" s="25"/>
      <c r="F142" s="25"/>
    </row>
    <row r="143" spans="1:6" ht="15" customHeight="1" x14ac:dyDescent="0.25">
      <c r="A143" s="28"/>
      <c r="B143" s="25"/>
      <c r="C143" s="25"/>
      <c r="D143" s="55"/>
      <c r="E143" s="25"/>
      <c r="F143" s="25"/>
    </row>
    <row r="144" spans="1:6" ht="15" customHeight="1" x14ac:dyDescent="0.25">
      <c r="A144" s="28"/>
      <c r="B144" s="25"/>
      <c r="C144" s="25"/>
      <c r="D144" s="55"/>
      <c r="E144" s="25"/>
      <c r="F144" s="25"/>
    </row>
    <row r="145" spans="1:6" ht="15" customHeight="1" x14ac:dyDescent="0.25">
      <c r="A145" s="28"/>
      <c r="B145" s="25"/>
      <c r="C145" s="25"/>
      <c r="D145" s="55"/>
      <c r="E145" s="25"/>
      <c r="F145" s="25"/>
    </row>
    <row r="146" spans="1:6" ht="15" customHeight="1" x14ac:dyDescent="0.25">
      <c r="A146" s="28"/>
      <c r="B146" s="25"/>
      <c r="C146" s="25"/>
      <c r="D146" s="55"/>
      <c r="E146" s="25"/>
      <c r="F146" s="25"/>
    </row>
    <row r="147" spans="1:6" ht="15" customHeight="1" x14ac:dyDescent="0.25">
      <c r="A147" s="28"/>
      <c r="B147" s="25"/>
      <c r="C147" s="25"/>
      <c r="D147" s="55"/>
      <c r="E147" s="25"/>
      <c r="F147" s="25"/>
    </row>
    <row r="148" spans="1:6" ht="15" customHeight="1" x14ac:dyDescent="0.25">
      <c r="A148" s="28"/>
      <c r="B148" s="25"/>
      <c r="C148" s="25"/>
      <c r="D148" s="55"/>
      <c r="E148" s="25"/>
      <c r="F148" s="25"/>
    </row>
    <row r="149" spans="1:6" ht="15" customHeight="1" x14ac:dyDescent="0.25">
      <c r="A149" s="28"/>
      <c r="B149" s="25"/>
      <c r="C149" s="25"/>
      <c r="D149" s="55"/>
      <c r="E149" s="25"/>
      <c r="F149" s="25"/>
    </row>
    <row r="150" spans="1:6" ht="15" customHeight="1" x14ac:dyDescent="0.25">
      <c r="A150" s="13">
        <v>3</v>
      </c>
      <c r="B150" s="46" t="s">
        <v>46</v>
      </c>
      <c r="C150" s="46"/>
      <c r="D150" s="46"/>
      <c r="E150" s="46"/>
      <c r="F150" s="46"/>
    </row>
    <row r="151" spans="1:6" ht="15" customHeight="1" x14ac:dyDescent="0.25">
      <c r="A151" s="21">
        <v>3.1</v>
      </c>
      <c r="B151" s="10" t="s">
        <v>47</v>
      </c>
      <c r="C151" s="17">
        <v>1</v>
      </c>
      <c r="D151" s="18" t="s">
        <v>48</v>
      </c>
      <c r="E151" s="19">
        <v>75000</v>
      </c>
      <c r="F151" s="19">
        <v>75000</v>
      </c>
    </row>
    <row r="152" spans="1:6" ht="15" customHeight="1" x14ac:dyDescent="0.25">
      <c r="A152" s="21">
        <v>3.2</v>
      </c>
      <c r="B152" s="10" t="s">
        <v>49</v>
      </c>
      <c r="C152" s="17">
        <v>1</v>
      </c>
      <c r="D152" s="18" t="s">
        <v>50</v>
      </c>
      <c r="E152" s="19">
        <v>20000</v>
      </c>
      <c r="F152" s="19">
        <v>20000</v>
      </c>
    </row>
    <row r="153" spans="1:6" ht="15" customHeight="1" thickBot="1" x14ac:dyDescent="0.3">
      <c r="A153" s="13">
        <v>4</v>
      </c>
      <c r="B153" s="14" t="s">
        <v>51</v>
      </c>
      <c r="C153" s="22">
        <v>1</v>
      </c>
      <c r="D153" s="22"/>
      <c r="E153" s="23" t="s">
        <v>52</v>
      </c>
      <c r="F153" s="24">
        <v>0</v>
      </c>
    </row>
    <row r="154" spans="1:6" ht="15" customHeight="1" x14ac:dyDescent="0.25">
      <c r="B154" s="48" t="s">
        <v>53</v>
      </c>
      <c r="C154" s="48"/>
      <c r="D154" s="48"/>
      <c r="E154" s="48"/>
      <c r="F154" s="31"/>
    </row>
    <row r="155" spans="1:6" ht="15" customHeight="1" thickBot="1" x14ac:dyDescent="0.3">
      <c r="B155" s="48" t="s">
        <v>54</v>
      </c>
      <c r="C155" s="48"/>
      <c r="D155" s="48"/>
      <c r="E155" s="48"/>
      <c r="F155" s="32"/>
    </row>
    <row r="156" spans="1:6" ht="15" customHeight="1" thickBot="1" x14ac:dyDescent="0.3">
      <c r="B156" s="49" t="s">
        <v>55</v>
      </c>
      <c r="C156" s="49"/>
      <c r="D156" s="49"/>
      <c r="E156" s="49"/>
      <c r="F156" s="30"/>
    </row>
    <row r="157" spans="1:6" ht="15" customHeight="1" x14ac:dyDescent="0.25">
      <c r="B157" s="16" t="s">
        <v>56</v>
      </c>
    </row>
    <row r="158" spans="1:6" ht="15" customHeight="1" x14ac:dyDescent="0.25">
      <c r="A158" s="28" t="s">
        <v>57</v>
      </c>
      <c r="B158" s="42" t="s">
        <v>58</v>
      </c>
      <c r="C158" s="42"/>
      <c r="D158" s="42"/>
      <c r="E158" s="42"/>
      <c r="F158" s="42"/>
    </row>
    <row r="159" spans="1:6" ht="15" customHeight="1" x14ac:dyDescent="0.25">
      <c r="A159" s="28" t="s">
        <v>57</v>
      </c>
      <c r="B159" s="42" t="s">
        <v>59</v>
      </c>
      <c r="C159" s="42"/>
      <c r="D159" s="42"/>
      <c r="E159" s="42"/>
      <c r="F159" s="42"/>
    </row>
    <row r="160" spans="1:6" ht="15" customHeight="1" x14ac:dyDescent="0.25">
      <c r="A160" s="28" t="s">
        <v>57</v>
      </c>
      <c r="B160" s="42" t="s">
        <v>60</v>
      </c>
      <c r="C160" s="42"/>
      <c r="D160" s="42"/>
      <c r="E160" s="42"/>
      <c r="F160" s="42"/>
    </row>
    <row r="161" spans="1:6" ht="15" customHeight="1" x14ac:dyDescent="0.25">
      <c r="A161" s="28" t="s">
        <v>57</v>
      </c>
      <c r="B161" s="42" t="s">
        <v>61</v>
      </c>
      <c r="C161" s="42"/>
      <c r="D161" s="42"/>
      <c r="E161" s="42"/>
      <c r="F161" s="42"/>
    </row>
    <row r="162" spans="1:6" ht="15" customHeight="1" x14ac:dyDescent="0.25">
      <c r="A162" s="28" t="s">
        <v>57</v>
      </c>
      <c r="B162" s="42" t="s">
        <v>62</v>
      </c>
      <c r="C162" s="42"/>
      <c r="D162" s="42"/>
      <c r="E162" s="42"/>
      <c r="F162" s="42"/>
    </row>
    <row r="163" spans="1:6" ht="15" customHeight="1" x14ac:dyDescent="0.25">
      <c r="A163" s="28" t="s">
        <v>57</v>
      </c>
      <c r="B163" s="42" t="s">
        <v>63</v>
      </c>
      <c r="C163" s="42"/>
      <c r="D163" s="42"/>
      <c r="E163" s="42"/>
      <c r="F163" s="42"/>
    </row>
    <row r="164" spans="1:6" ht="15" customHeight="1" x14ac:dyDescent="0.25">
      <c r="A164" s="28" t="s">
        <v>57</v>
      </c>
      <c r="B164" s="42" t="s">
        <v>64</v>
      </c>
      <c r="C164" s="42"/>
      <c r="D164" s="42"/>
      <c r="E164" s="42"/>
      <c r="F164" s="42"/>
    </row>
    <row r="165" spans="1:6" ht="15" customHeight="1" x14ac:dyDescent="0.25">
      <c r="A165" s="28" t="s">
        <v>57</v>
      </c>
      <c r="B165" s="42" t="s">
        <v>65</v>
      </c>
      <c r="C165" s="42"/>
      <c r="D165" s="42"/>
      <c r="E165" s="42"/>
      <c r="F165" s="42"/>
    </row>
    <row r="166" spans="1:6" ht="15" customHeight="1" x14ac:dyDescent="0.25">
      <c r="A166" s="28"/>
      <c r="B166" s="10"/>
      <c r="C166" s="10"/>
      <c r="D166" s="55"/>
      <c r="E166" s="10"/>
      <c r="F166" s="10"/>
    </row>
    <row r="167" spans="1:6" ht="15" customHeight="1" x14ac:dyDescent="0.25">
      <c r="A167" s="28"/>
      <c r="B167" s="10"/>
      <c r="C167" s="10"/>
      <c r="D167" s="55"/>
      <c r="E167" s="10"/>
      <c r="F167" s="10"/>
    </row>
    <row r="170" spans="1:6" ht="15" customHeight="1" x14ac:dyDescent="0.25">
      <c r="B170" s="10" t="s">
        <v>66</v>
      </c>
      <c r="E170" s="29" t="s">
        <v>67</v>
      </c>
    </row>
    <row r="171" spans="1:6" ht="15" customHeight="1" x14ac:dyDescent="0.25">
      <c r="B171" s="10" t="s">
        <v>68</v>
      </c>
      <c r="E171" s="29" t="s">
        <v>69</v>
      </c>
    </row>
    <row r="172" spans="1:6" ht="15" customHeight="1" x14ac:dyDescent="0.25">
      <c r="B172" s="10" t="s">
        <v>70</v>
      </c>
      <c r="E172" s="29" t="s">
        <v>71</v>
      </c>
    </row>
    <row r="174" spans="1:6" ht="15" customHeight="1" x14ac:dyDescent="0.25">
      <c r="A174" s="42" t="s">
        <v>83</v>
      </c>
      <c r="B174" s="42"/>
      <c r="C174" s="42"/>
      <c r="D174" s="42"/>
      <c r="E174" s="42"/>
      <c r="F174" s="42"/>
    </row>
    <row r="196" spans="1:6" ht="15" customHeight="1" x14ac:dyDescent="0.25">
      <c r="A196" s="33" t="s">
        <v>2</v>
      </c>
      <c r="B196" s="39"/>
      <c r="C196" s="39"/>
      <c r="D196" s="56"/>
      <c r="E196" s="50" t="s">
        <v>3</v>
      </c>
      <c r="F196" s="50"/>
    </row>
    <row r="197" spans="1:6" ht="15" customHeight="1" x14ac:dyDescent="0.25">
      <c r="A197" s="35" t="s">
        <v>85</v>
      </c>
      <c r="B197" s="39"/>
      <c r="C197" s="39"/>
      <c r="D197" s="36"/>
      <c r="E197" s="34" t="s">
        <v>1</v>
      </c>
      <c r="F197" s="40" t="s">
        <v>84</v>
      </c>
    </row>
    <row r="198" spans="1:6" ht="15" customHeight="1" x14ac:dyDescent="0.25">
      <c r="A198" s="39" t="s">
        <v>79</v>
      </c>
      <c r="B198" s="39"/>
      <c r="C198" s="39"/>
      <c r="D198" s="56"/>
      <c r="E198" s="41" t="s">
        <v>80</v>
      </c>
      <c r="F198" s="38">
        <v>46083</v>
      </c>
    </row>
    <row r="199" spans="1:6" ht="15" customHeight="1" x14ac:dyDescent="0.25">
      <c r="A199" s="33" t="s">
        <v>5</v>
      </c>
      <c r="B199" s="39"/>
      <c r="C199" s="39"/>
      <c r="D199" s="56"/>
      <c r="E199" s="41" t="s">
        <v>81</v>
      </c>
      <c r="F199" s="38">
        <v>46096</v>
      </c>
    </row>
    <row r="200" spans="1:6" ht="15" customHeight="1" x14ac:dyDescent="0.25">
      <c r="A200" s="33" t="s">
        <v>86</v>
      </c>
      <c r="B200" s="39"/>
      <c r="C200" s="39"/>
      <c r="D200" s="56"/>
      <c r="E200" s="39"/>
      <c r="F200" s="39"/>
    </row>
    <row r="201" spans="1:6" ht="15" customHeight="1" x14ac:dyDescent="0.25">
      <c r="A201" s="11" t="s">
        <v>7</v>
      </c>
      <c r="B201" s="12" t="s">
        <v>8</v>
      </c>
      <c r="C201" s="11" t="s">
        <v>9</v>
      </c>
      <c r="D201" s="11" t="s">
        <v>10</v>
      </c>
      <c r="E201" s="11" t="s">
        <v>11</v>
      </c>
      <c r="F201" s="11" t="s">
        <v>12</v>
      </c>
    </row>
    <row r="202" spans="1:6" ht="15" customHeight="1" x14ac:dyDescent="0.25">
      <c r="A202" s="13"/>
      <c r="B202" s="46" t="s">
        <v>92</v>
      </c>
      <c r="C202" s="46"/>
      <c r="D202" s="46"/>
      <c r="E202" s="46"/>
      <c r="F202" s="46"/>
    </row>
    <row r="203" spans="1:6" ht="15" customHeight="1" x14ac:dyDescent="0.25">
      <c r="A203" s="21">
        <v>1</v>
      </c>
      <c r="B203" s="10" t="s">
        <v>87</v>
      </c>
      <c r="C203" s="2">
        <v>100</v>
      </c>
      <c r="D203" s="53" t="s">
        <v>89</v>
      </c>
      <c r="E203" s="52">
        <v>2600</v>
      </c>
      <c r="F203" s="52">
        <f>C203*E203</f>
        <v>260000</v>
      </c>
    </row>
    <row r="204" spans="1:6" ht="15" customHeight="1" x14ac:dyDescent="0.25">
      <c r="A204" s="8">
        <v>2</v>
      </c>
      <c r="B204" s="25" t="s">
        <v>88</v>
      </c>
      <c r="C204" s="25">
        <v>200</v>
      </c>
      <c r="D204" s="53" t="s">
        <v>90</v>
      </c>
      <c r="E204" s="52">
        <v>400</v>
      </c>
      <c r="F204" s="52">
        <f>C204*E204</f>
        <v>80000</v>
      </c>
    </row>
    <row r="205" spans="1:6" ht="15" customHeight="1" x14ac:dyDescent="0.25">
      <c r="A205" s="8">
        <v>3</v>
      </c>
      <c r="B205" s="10" t="s">
        <v>91</v>
      </c>
      <c r="C205" s="51">
        <v>100</v>
      </c>
      <c r="D205" s="53" t="s">
        <v>89</v>
      </c>
      <c r="E205" s="52">
        <v>950</v>
      </c>
      <c r="F205" s="52">
        <f>C205*E205</f>
        <v>95000</v>
      </c>
    </row>
    <row r="206" spans="1:6" ht="15" customHeight="1" x14ac:dyDescent="0.25">
      <c r="A206" s="13"/>
      <c r="B206" s="46" t="s">
        <v>93</v>
      </c>
      <c r="C206" s="46"/>
      <c r="D206" s="46"/>
      <c r="E206" s="46"/>
      <c r="F206" s="46"/>
    </row>
    <row r="207" spans="1:6" ht="15" customHeight="1" x14ac:dyDescent="0.25">
      <c r="A207" s="21">
        <v>1</v>
      </c>
      <c r="B207" s="10" t="s">
        <v>94</v>
      </c>
      <c r="C207" s="2">
        <v>50</v>
      </c>
      <c r="D207" s="53" t="s">
        <v>96</v>
      </c>
      <c r="E207" s="52">
        <v>4600</v>
      </c>
      <c r="F207" s="52">
        <f>C207*E207</f>
        <v>230000</v>
      </c>
    </row>
    <row r="208" spans="1:6" ht="15" customHeight="1" x14ac:dyDescent="0.25">
      <c r="A208" s="8">
        <v>2</v>
      </c>
      <c r="B208" s="25" t="s">
        <v>88</v>
      </c>
      <c r="C208" s="25">
        <v>200</v>
      </c>
      <c r="D208" s="53" t="s">
        <v>90</v>
      </c>
      <c r="E208" s="52">
        <v>400</v>
      </c>
      <c r="F208" s="52">
        <f>C208*E208</f>
        <v>80000</v>
      </c>
    </row>
    <row r="209" spans="1:6" ht="15" customHeight="1" x14ac:dyDescent="0.25">
      <c r="A209" s="8">
        <v>3</v>
      </c>
      <c r="B209" s="10" t="s">
        <v>95</v>
      </c>
      <c r="C209" s="51">
        <v>50</v>
      </c>
      <c r="D209" s="53" t="s">
        <v>96</v>
      </c>
      <c r="E209" s="52">
        <v>1900</v>
      </c>
      <c r="F209" s="52">
        <f>C209*E209</f>
        <v>95000</v>
      </c>
    </row>
    <row r="210" spans="1:6" ht="15" customHeight="1" x14ac:dyDescent="0.25">
      <c r="A210" s="20"/>
      <c r="B210" s="14" t="s">
        <v>97</v>
      </c>
      <c r="C210" s="26"/>
      <c r="D210" s="54"/>
      <c r="E210" s="26"/>
      <c r="F210" s="26"/>
    </row>
    <row r="211" spans="1:6" ht="15" customHeight="1" x14ac:dyDescent="0.25">
      <c r="A211" s="8"/>
      <c r="B211" s="25" t="s">
        <v>98</v>
      </c>
      <c r="C211" s="51">
        <v>1</v>
      </c>
      <c r="D211" s="55" t="s">
        <v>100</v>
      </c>
      <c r="E211" s="52">
        <v>14000</v>
      </c>
      <c r="F211" s="52">
        <f>C211*E211</f>
        <v>14000</v>
      </c>
    </row>
    <row r="212" spans="1:6" ht="15" customHeight="1" x14ac:dyDescent="0.25">
      <c r="B212" s="10" t="s">
        <v>99</v>
      </c>
      <c r="C212" s="51">
        <v>1</v>
      </c>
      <c r="D212" s="55" t="s">
        <v>101</v>
      </c>
      <c r="E212" s="52">
        <v>22000</v>
      </c>
      <c r="F212" s="52">
        <f t="shared" ref="F212:F213" si="0">C212*E212</f>
        <v>22000</v>
      </c>
    </row>
    <row r="213" spans="1:6" ht="15" customHeight="1" x14ac:dyDescent="0.25">
      <c r="B213" s="10" t="s">
        <v>102</v>
      </c>
      <c r="C213" s="51">
        <v>30</v>
      </c>
      <c r="D213" s="18" t="s">
        <v>103</v>
      </c>
      <c r="E213" s="52">
        <v>1850</v>
      </c>
      <c r="F213" s="52">
        <f t="shared" si="0"/>
        <v>55500</v>
      </c>
    </row>
    <row r="214" spans="1:6" ht="15" customHeight="1" x14ac:dyDescent="0.25">
      <c r="A214" s="13">
        <v>2</v>
      </c>
      <c r="B214" s="46" t="s">
        <v>106</v>
      </c>
      <c r="C214" s="46"/>
      <c r="D214" s="46"/>
      <c r="E214" s="46"/>
      <c r="F214" s="46"/>
    </row>
    <row r="215" spans="1:6" ht="15" customHeight="1" x14ac:dyDescent="0.25">
      <c r="A215" s="15">
        <v>2.1</v>
      </c>
      <c r="B215" s="16" t="s">
        <v>104</v>
      </c>
    </row>
    <row r="216" spans="1:6" ht="15" customHeight="1" x14ac:dyDescent="0.25">
      <c r="A216" s="28" t="s">
        <v>57</v>
      </c>
      <c r="B216" s="25" t="s">
        <v>27</v>
      </c>
      <c r="C216" s="25"/>
      <c r="D216" s="28" t="s">
        <v>57</v>
      </c>
      <c r="E216" s="25" t="s">
        <v>82</v>
      </c>
      <c r="F216" s="25"/>
    </row>
    <row r="217" spans="1:6" ht="15" customHeight="1" x14ac:dyDescent="0.25">
      <c r="A217" s="28" t="s">
        <v>57</v>
      </c>
      <c r="B217" s="10" t="s">
        <v>28</v>
      </c>
      <c r="D217" s="28" t="s">
        <v>57</v>
      </c>
      <c r="E217" s="25" t="s">
        <v>32</v>
      </c>
      <c r="F217" s="25"/>
    </row>
    <row r="218" spans="1:6" ht="15" customHeight="1" x14ac:dyDescent="0.25">
      <c r="A218" s="28" t="s">
        <v>57</v>
      </c>
      <c r="B218" s="25" t="s">
        <v>29</v>
      </c>
      <c r="C218" s="25"/>
      <c r="D218" s="28" t="s">
        <v>57</v>
      </c>
      <c r="E218" s="25" t="s">
        <v>33</v>
      </c>
      <c r="F218" s="25"/>
    </row>
    <row r="219" spans="1:6" ht="15" customHeight="1" x14ac:dyDescent="0.25">
      <c r="A219" s="28" t="s">
        <v>57</v>
      </c>
      <c r="B219" s="10" t="s">
        <v>30</v>
      </c>
      <c r="D219" s="28" t="s">
        <v>57</v>
      </c>
      <c r="E219" s="42" t="s">
        <v>34</v>
      </c>
      <c r="F219" s="42"/>
    </row>
    <row r="220" spans="1:6" ht="15" customHeight="1" x14ac:dyDescent="0.25">
      <c r="A220" s="28" t="s">
        <v>57</v>
      </c>
      <c r="B220" s="25" t="s">
        <v>31</v>
      </c>
      <c r="C220" s="25"/>
      <c r="D220" s="55"/>
      <c r="E220" s="10"/>
      <c r="F220" s="10"/>
    </row>
    <row r="221" spans="1:6" ht="15" customHeight="1" x14ac:dyDescent="0.25">
      <c r="A221" s="15">
        <v>2.2000000000000002</v>
      </c>
      <c r="B221" s="16" t="s">
        <v>105</v>
      </c>
    </row>
    <row r="222" spans="1:6" ht="15" customHeight="1" x14ac:dyDescent="0.25">
      <c r="A222" s="28" t="s">
        <v>57</v>
      </c>
      <c r="B222" s="25" t="s">
        <v>36</v>
      </c>
      <c r="C222" s="25"/>
      <c r="D222" s="28" t="s">
        <v>57</v>
      </c>
      <c r="E222" s="42" t="s">
        <v>41</v>
      </c>
      <c r="F222" s="42"/>
    </row>
    <row r="223" spans="1:6" ht="15" customHeight="1" x14ac:dyDescent="0.25">
      <c r="A223" s="28" t="s">
        <v>57</v>
      </c>
      <c r="B223" s="10" t="s">
        <v>37</v>
      </c>
      <c r="D223" s="28" t="s">
        <v>57</v>
      </c>
      <c r="E223" s="25" t="s">
        <v>39</v>
      </c>
    </row>
    <row r="224" spans="1:6" ht="15" customHeight="1" x14ac:dyDescent="0.25">
      <c r="A224" s="28" t="s">
        <v>57</v>
      </c>
      <c r="B224" s="25" t="s">
        <v>33</v>
      </c>
      <c r="C224" s="25"/>
      <c r="D224" s="28" t="s">
        <v>57</v>
      </c>
      <c r="E224" s="44" t="s">
        <v>40</v>
      </c>
      <c r="F224" s="44"/>
    </row>
    <row r="225" spans="1:6" ht="15" customHeight="1" x14ac:dyDescent="0.25">
      <c r="A225" s="13">
        <v>3</v>
      </c>
      <c r="B225" s="46" t="s">
        <v>46</v>
      </c>
      <c r="C225" s="46"/>
      <c r="D225" s="46"/>
      <c r="E225" s="46"/>
      <c r="F225" s="46"/>
    </row>
    <row r="226" spans="1:6" ht="15" customHeight="1" x14ac:dyDescent="0.25">
      <c r="A226" s="21">
        <v>3.1</v>
      </c>
      <c r="B226" s="10" t="s">
        <v>47</v>
      </c>
      <c r="C226" s="17">
        <v>1</v>
      </c>
      <c r="D226" s="18" t="s">
        <v>48</v>
      </c>
      <c r="E226" s="19">
        <v>75000</v>
      </c>
      <c r="F226" s="19">
        <v>75000</v>
      </c>
    </row>
    <row r="227" spans="1:6" ht="15" customHeight="1" x14ac:dyDescent="0.25">
      <c r="A227" s="21">
        <v>3.2</v>
      </c>
      <c r="B227" s="10" t="s">
        <v>49</v>
      </c>
      <c r="C227" s="17">
        <v>1</v>
      </c>
      <c r="D227" s="18" t="s">
        <v>50</v>
      </c>
      <c r="E227" s="19">
        <v>20000</v>
      </c>
      <c r="F227" s="19">
        <v>20000</v>
      </c>
    </row>
    <row r="228" spans="1:6" ht="15" customHeight="1" thickBot="1" x14ac:dyDescent="0.3">
      <c r="A228" s="13">
        <v>4</v>
      </c>
      <c r="B228" s="14" t="s">
        <v>51</v>
      </c>
      <c r="C228" s="22">
        <v>1</v>
      </c>
      <c r="D228" s="22"/>
      <c r="E228" s="23" t="s">
        <v>52</v>
      </c>
      <c r="F228" s="24">
        <v>0</v>
      </c>
    </row>
    <row r="229" spans="1:6" ht="15" customHeight="1" x14ac:dyDescent="0.25">
      <c r="B229" s="48" t="s">
        <v>53</v>
      </c>
      <c r="C229" s="48"/>
      <c r="D229" s="48"/>
      <c r="E229" s="48"/>
      <c r="F229" s="31"/>
    </row>
    <row r="230" spans="1:6" ht="15" customHeight="1" thickBot="1" x14ac:dyDescent="0.3">
      <c r="B230" s="48" t="s">
        <v>54</v>
      </c>
      <c r="C230" s="48"/>
      <c r="D230" s="48"/>
      <c r="E230" s="48"/>
      <c r="F230" s="32"/>
    </row>
    <row r="231" spans="1:6" ht="15" customHeight="1" thickBot="1" x14ac:dyDescent="0.3">
      <c r="B231" s="49" t="s">
        <v>55</v>
      </c>
      <c r="C231" s="49"/>
      <c r="D231" s="49"/>
      <c r="E231" s="49"/>
      <c r="F231" s="30"/>
    </row>
    <row r="232" spans="1:6" ht="15" customHeight="1" x14ac:dyDescent="0.25">
      <c r="B232" s="27"/>
      <c r="C232" s="27"/>
      <c r="D232" s="27"/>
      <c r="E232" s="27"/>
      <c r="F232" s="58"/>
    </row>
    <row r="233" spans="1:6" ht="15" customHeight="1" x14ac:dyDescent="0.25">
      <c r="B233" s="27"/>
      <c r="C233" s="27"/>
      <c r="D233" s="27"/>
      <c r="E233" s="27"/>
      <c r="F233" s="58"/>
    </row>
    <row r="234" spans="1:6" ht="15" customHeight="1" x14ac:dyDescent="0.25">
      <c r="B234" s="27"/>
      <c r="C234" s="27"/>
      <c r="D234" s="27"/>
      <c r="E234" s="27"/>
      <c r="F234" s="58"/>
    </row>
    <row r="235" spans="1:6" ht="15" customHeight="1" x14ac:dyDescent="0.25">
      <c r="B235" s="27"/>
      <c r="C235" s="27"/>
      <c r="D235" s="27"/>
      <c r="E235" s="27"/>
      <c r="F235" s="58"/>
    </row>
    <row r="236" spans="1:6" ht="15" customHeight="1" x14ac:dyDescent="0.25">
      <c r="B236" s="27"/>
      <c r="C236" s="27"/>
      <c r="D236" s="27"/>
      <c r="E236" s="27"/>
      <c r="F236" s="58"/>
    </row>
    <row r="237" spans="1:6" ht="15" customHeight="1" x14ac:dyDescent="0.25">
      <c r="B237" s="27"/>
      <c r="C237" s="27"/>
      <c r="D237" s="27"/>
      <c r="E237" s="27"/>
      <c r="F237" s="58"/>
    </row>
    <row r="238" spans="1:6" ht="15" customHeight="1" x14ac:dyDescent="0.25">
      <c r="B238" s="27"/>
      <c r="C238" s="27"/>
      <c r="D238" s="27"/>
      <c r="E238" s="27"/>
      <c r="F238" s="58"/>
    </row>
    <row r="239" spans="1:6" ht="15" customHeight="1" x14ac:dyDescent="0.25">
      <c r="B239" s="27"/>
      <c r="C239" s="27"/>
      <c r="D239" s="27"/>
      <c r="E239" s="27"/>
      <c r="F239" s="58"/>
    </row>
    <row r="240" spans="1:6" ht="15" customHeight="1" x14ac:dyDescent="0.25">
      <c r="B240" s="27"/>
      <c r="C240" s="27"/>
      <c r="D240" s="27"/>
      <c r="E240" s="27"/>
      <c r="F240" s="58"/>
    </row>
    <row r="241" spans="1:6" ht="15" customHeight="1" x14ac:dyDescent="0.25">
      <c r="B241" s="27"/>
      <c r="C241" s="27"/>
      <c r="D241" s="27"/>
      <c r="E241" s="27"/>
      <c r="F241" s="58"/>
    </row>
    <row r="242" spans="1:6" ht="15" customHeight="1" x14ac:dyDescent="0.25">
      <c r="B242" s="27"/>
      <c r="C242" s="27"/>
      <c r="D242" s="27"/>
      <c r="E242" s="27"/>
      <c r="F242" s="58"/>
    </row>
    <row r="243" spans="1:6" ht="15" customHeight="1" x14ac:dyDescent="0.25">
      <c r="B243" s="27"/>
      <c r="C243" s="27"/>
      <c r="D243" s="27"/>
      <c r="E243" s="27"/>
      <c r="F243" s="58"/>
    </row>
    <row r="244" spans="1:6" ht="15" customHeight="1" x14ac:dyDescent="0.25">
      <c r="B244" s="27"/>
      <c r="C244" s="27"/>
      <c r="D244" s="27"/>
      <c r="E244" s="27"/>
      <c r="F244" s="58"/>
    </row>
    <row r="245" spans="1:6" ht="15" customHeight="1" x14ac:dyDescent="0.25">
      <c r="B245" s="27"/>
      <c r="C245" s="27"/>
      <c r="D245" s="27"/>
      <c r="E245" s="27"/>
      <c r="F245" s="58"/>
    </row>
    <row r="246" spans="1:6" ht="15" customHeight="1" x14ac:dyDescent="0.25">
      <c r="A246" s="26"/>
      <c r="B246" s="14" t="s">
        <v>56</v>
      </c>
      <c r="C246" s="26"/>
      <c r="D246" s="54"/>
      <c r="E246" s="26"/>
      <c r="F246" s="26"/>
    </row>
    <row r="247" spans="1:6" ht="15" customHeight="1" x14ac:dyDescent="0.25">
      <c r="A247" s="28" t="s">
        <v>57</v>
      </c>
      <c r="B247" s="42" t="s">
        <v>58</v>
      </c>
      <c r="C247" s="42"/>
      <c r="D247" s="42"/>
      <c r="E247" s="42"/>
      <c r="F247" s="42"/>
    </row>
    <row r="248" spans="1:6" ht="15" customHeight="1" x14ac:dyDescent="0.25">
      <c r="A248" s="28" t="s">
        <v>57</v>
      </c>
      <c r="B248" s="42" t="s">
        <v>59</v>
      </c>
      <c r="C248" s="42"/>
      <c r="D248" s="42"/>
      <c r="E248" s="42"/>
      <c r="F248" s="42"/>
    </row>
    <row r="249" spans="1:6" ht="15" customHeight="1" x14ac:dyDescent="0.25">
      <c r="A249" s="28" t="s">
        <v>57</v>
      </c>
      <c r="B249" s="42" t="s">
        <v>60</v>
      </c>
      <c r="C249" s="42"/>
      <c r="D249" s="42"/>
      <c r="E249" s="42"/>
      <c r="F249" s="42"/>
    </row>
    <row r="250" spans="1:6" ht="15" customHeight="1" x14ac:dyDescent="0.25">
      <c r="A250" s="28" t="s">
        <v>57</v>
      </c>
      <c r="B250" s="42" t="s">
        <v>61</v>
      </c>
      <c r="C250" s="42"/>
      <c r="D250" s="42"/>
      <c r="E250" s="42"/>
      <c r="F250" s="42"/>
    </row>
    <row r="251" spans="1:6" ht="15" customHeight="1" x14ac:dyDescent="0.25">
      <c r="A251" s="28" t="s">
        <v>57</v>
      </c>
      <c r="B251" s="42" t="s">
        <v>62</v>
      </c>
      <c r="C251" s="42"/>
      <c r="D251" s="42"/>
      <c r="E251" s="42"/>
      <c r="F251" s="42"/>
    </row>
    <row r="252" spans="1:6" ht="15" customHeight="1" x14ac:dyDescent="0.25">
      <c r="A252" s="28" t="s">
        <v>57</v>
      </c>
      <c r="B252" s="42" t="s">
        <v>63</v>
      </c>
      <c r="C252" s="42"/>
      <c r="D252" s="42"/>
      <c r="E252" s="42"/>
      <c r="F252" s="42"/>
    </row>
    <row r="253" spans="1:6" ht="15" customHeight="1" x14ac:dyDescent="0.25">
      <c r="A253" s="28" t="s">
        <v>57</v>
      </c>
      <c r="B253" s="42" t="s">
        <v>64</v>
      </c>
      <c r="C253" s="42"/>
      <c r="D253" s="42"/>
      <c r="E253" s="42"/>
      <c r="F253" s="42"/>
    </row>
    <row r="254" spans="1:6" ht="15" customHeight="1" x14ac:dyDescent="0.25">
      <c r="A254" s="28" t="s">
        <v>57</v>
      </c>
      <c r="B254" s="42" t="s">
        <v>107</v>
      </c>
      <c r="C254" s="42"/>
      <c r="D254" s="42"/>
      <c r="E254" s="42"/>
      <c r="F254" s="42"/>
    </row>
    <row r="255" spans="1:6" ht="15" customHeight="1" x14ac:dyDescent="0.25">
      <c r="A255" s="28" t="s">
        <v>57</v>
      </c>
      <c r="B255" s="42" t="s">
        <v>108</v>
      </c>
      <c r="C255" s="42"/>
      <c r="D255" s="42"/>
      <c r="E255" s="42"/>
      <c r="F255" s="42"/>
    </row>
    <row r="256" spans="1:6" ht="15" customHeight="1" x14ac:dyDescent="0.25">
      <c r="A256" s="28" t="s">
        <v>57</v>
      </c>
      <c r="B256" s="42" t="s">
        <v>109</v>
      </c>
      <c r="C256" s="42"/>
      <c r="D256" s="42"/>
      <c r="E256" s="42"/>
      <c r="F256" s="42"/>
    </row>
    <row r="257" spans="1:6" ht="15" customHeight="1" x14ac:dyDescent="0.25">
      <c r="A257" s="28"/>
      <c r="B257" s="10"/>
      <c r="C257" s="10"/>
      <c r="D257" s="10"/>
      <c r="E257" s="10"/>
      <c r="F257" s="10"/>
    </row>
    <row r="258" spans="1:6" ht="15" customHeight="1" x14ac:dyDescent="0.25">
      <c r="A258" s="28"/>
      <c r="B258" s="10"/>
      <c r="C258" s="10"/>
      <c r="D258" s="10"/>
      <c r="E258" s="10"/>
      <c r="F258" s="10"/>
    </row>
    <row r="259" spans="1:6" ht="15" customHeight="1" x14ac:dyDescent="0.25">
      <c r="A259" s="28"/>
      <c r="B259" s="10"/>
      <c r="C259" s="10"/>
      <c r="D259" s="10"/>
      <c r="E259" s="10"/>
      <c r="F259" s="10"/>
    </row>
    <row r="260" spans="1:6" ht="15" customHeight="1" x14ac:dyDescent="0.25">
      <c r="A260" s="28"/>
      <c r="B260" s="10"/>
      <c r="C260" s="10"/>
      <c r="D260" s="10"/>
      <c r="E260" s="10"/>
      <c r="F260" s="10"/>
    </row>
    <row r="261" spans="1:6" ht="15" customHeight="1" x14ac:dyDescent="0.25">
      <c r="A261" s="28"/>
      <c r="B261" s="10"/>
      <c r="C261" s="10"/>
      <c r="D261" s="55"/>
      <c r="E261" s="10"/>
      <c r="F261" s="10"/>
    </row>
    <row r="264" spans="1:6" ht="15" customHeight="1" x14ac:dyDescent="0.25">
      <c r="B264" s="10" t="s">
        <v>66</v>
      </c>
      <c r="E264" s="29" t="s">
        <v>67</v>
      </c>
    </row>
    <row r="265" spans="1:6" ht="15" customHeight="1" x14ac:dyDescent="0.25">
      <c r="B265" s="10" t="s">
        <v>68</v>
      </c>
      <c r="E265" s="29" t="s">
        <v>69</v>
      </c>
    </row>
    <row r="266" spans="1:6" ht="15" customHeight="1" x14ac:dyDescent="0.25">
      <c r="B266" s="10" t="s">
        <v>70</v>
      </c>
      <c r="E266" s="29" t="s">
        <v>71</v>
      </c>
    </row>
    <row r="268" spans="1:6" ht="15" customHeight="1" x14ac:dyDescent="0.25">
      <c r="A268" s="57" t="s">
        <v>83</v>
      </c>
      <c r="B268" s="57"/>
      <c r="C268" s="57"/>
      <c r="D268" s="57"/>
      <c r="E268" s="57"/>
      <c r="F268" s="57"/>
    </row>
  </sheetData>
  <mergeCells count="69">
    <mergeCell ref="B252:F252"/>
    <mergeCell ref="B253:F253"/>
    <mergeCell ref="B254:F254"/>
    <mergeCell ref="A268:F268"/>
    <mergeCell ref="E222:F222"/>
    <mergeCell ref="B255:F255"/>
    <mergeCell ref="B256:F256"/>
    <mergeCell ref="B247:F247"/>
    <mergeCell ref="B248:F248"/>
    <mergeCell ref="B249:F249"/>
    <mergeCell ref="B250:F250"/>
    <mergeCell ref="B251:F251"/>
    <mergeCell ref="B225:F225"/>
    <mergeCell ref="B229:E229"/>
    <mergeCell ref="B230:E230"/>
    <mergeCell ref="B231:E231"/>
    <mergeCell ref="B214:F214"/>
    <mergeCell ref="E219:F219"/>
    <mergeCell ref="E224:F224"/>
    <mergeCell ref="E196:F196"/>
    <mergeCell ref="B202:F202"/>
    <mergeCell ref="B206:F206"/>
    <mergeCell ref="E7:F7"/>
    <mergeCell ref="E35:F35"/>
    <mergeCell ref="E42:F42"/>
    <mergeCell ref="B58:E58"/>
    <mergeCell ref="B59:E59"/>
    <mergeCell ref="B54:F54"/>
    <mergeCell ref="B15:F15"/>
    <mergeCell ref="B13:F13"/>
    <mergeCell ref="B19:F19"/>
    <mergeCell ref="B25:F25"/>
    <mergeCell ref="B29:F29"/>
    <mergeCell ref="B30:F30"/>
    <mergeCell ref="B68:F68"/>
    <mergeCell ref="B69:F69"/>
    <mergeCell ref="B20:F20"/>
    <mergeCell ref="E100:F100"/>
    <mergeCell ref="B106:F106"/>
    <mergeCell ref="B63:F63"/>
    <mergeCell ref="B64:F64"/>
    <mergeCell ref="B65:F65"/>
    <mergeCell ref="B66:F66"/>
    <mergeCell ref="B67:F67"/>
    <mergeCell ref="B60:E60"/>
    <mergeCell ref="A78:F78"/>
    <mergeCell ref="B62:F62"/>
    <mergeCell ref="B108:F108"/>
    <mergeCell ref="B112:F112"/>
    <mergeCell ref="B113:F113"/>
    <mergeCell ref="B118:F118"/>
    <mergeCell ref="B122:F122"/>
    <mergeCell ref="B123:F123"/>
    <mergeCell ref="E128:F128"/>
    <mergeCell ref="E133:F133"/>
    <mergeCell ref="E136:F136"/>
    <mergeCell ref="B150:F150"/>
    <mergeCell ref="B154:E154"/>
    <mergeCell ref="B155:E155"/>
    <mergeCell ref="B156:E156"/>
    <mergeCell ref="B158:F158"/>
    <mergeCell ref="B159:F159"/>
    <mergeCell ref="B165:F165"/>
    <mergeCell ref="A174:F174"/>
    <mergeCell ref="B160:F160"/>
    <mergeCell ref="B161:F161"/>
    <mergeCell ref="B162:F162"/>
    <mergeCell ref="B163:F163"/>
    <mergeCell ref="B164:F164"/>
  </mergeCells>
  <phoneticPr fontId="8" type="noConversion"/>
  <pageMargins left="0.51" right="0.44" top="0.75" bottom="0.75" header="0.35" footer="0.3"/>
  <pageSetup scale="97" fitToHeight="0" orientation="portrait" horizontalDpi="300" verticalDpi="300" r:id="rId1"/>
  <headerFooter>
    <oddHeader>&amp;L&amp;G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PRESUPUESTO_AREPARTIR_No1011(B)</vt:lpstr>
      <vt:lpstr>PRESUPUESTO_AREPARTIR_No101 (A)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Pablo H. Pereira Magnere</cp:lastModifiedBy>
  <cp:revision>0</cp:revision>
  <cp:lastPrinted>2026-03-03T15:22:34Z</cp:lastPrinted>
  <dcterms:created xsi:type="dcterms:W3CDTF">2026-03-03T03:27:11Z</dcterms:created>
  <dcterms:modified xsi:type="dcterms:W3CDTF">2026-03-03T15:23:39Z</dcterms:modified>
  <dc:language>en-US</dc:language>
</cp:coreProperties>
</file>