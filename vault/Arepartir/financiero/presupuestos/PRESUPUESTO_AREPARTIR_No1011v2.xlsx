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blo\Documents\Obsidian Vault\Arepartir\financiero\presupuestos\"/>
    </mc:Choice>
  </mc:AlternateContent>
  <xr:revisionPtr revIDLastSave="0" documentId="13_ncr:1_{2CBC03E6-5228-48DE-81BF-2729BE67E472}" xr6:coauthVersionLast="47" xr6:coauthVersionMax="47" xr10:uidLastSave="{00000000-0000-0000-0000-000000000000}"/>
  <bookViews>
    <workbookView xWindow="14295" yWindow="-16395" windowWidth="29040" windowHeight="16440" tabRatio="500" firstSheet="1" activeTab="1" xr2:uid="{00000000-000D-0000-FFFF-FFFF00000000}"/>
  </bookViews>
  <sheets>
    <sheet name="PRESUPUESTO_AREPARTIR_No1011(B)" sheetId="1" r:id="rId1"/>
    <sheet name="PRESUPUESTO_AREPARTIR_No101 (2)" sheetId="3" r:id="rId2"/>
    <sheet name="PRESUPUESTO_AREPARTIR_No1012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3" l="1"/>
  <c r="F25" i="3" s="1"/>
  <c r="F15" i="3"/>
  <c r="F14" i="3"/>
  <c r="F15" i="2"/>
  <c r="F14" i="2"/>
  <c r="F23" i="1"/>
  <c r="F22" i="1"/>
  <c r="F21" i="1"/>
  <c r="F18" i="1"/>
  <c r="F17" i="1"/>
  <c r="F16" i="1"/>
  <c r="F13" i="1"/>
  <c r="F12" i="1"/>
  <c r="F11" i="1"/>
  <c r="F23" i="2" l="1"/>
  <c r="F25" i="2" s="1"/>
</calcChain>
</file>

<file path=xl/sharedStrings.xml><?xml version="1.0" encoding="utf-8"?>
<sst xmlns="http://schemas.openxmlformats.org/spreadsheetml/2006/main" count="244" uniqueCount="101">
  <si>
    <t>1011-B</t>
  </si>
  <si>
    <t>Proforma</t>
  </si>
  <si>
    <t>Inversiones Las Chamas de Costa Rica S.A.</t>
  </si>
  <si>
    <t>Telf. 7188-7945 / 7015-9848</t>
  </si>
  <si>
    <t>COTIZACION - OPCION 2</t>
  </si>
  <si>
    <t>Direccion: San Rafael de Escazú</t>
  </si>
  <si>
    <t xml:space="preserve">EVENTO: Los precios por persona corresponden a la tarifa de 50, 60 y 70 pax. </t>
  </si>
  <si>
    <t>No.</t>
  </si>
  <si>
    <t>PRODUCTO</t>
  </si>
  <si>
    <t>CANT</t>
  </si>
  <si>
    <t>UND</t>
  </si>
  <si>
    <t>Precio Unit</t>
  </si>
  <si>
    <t>TOTAL</t>
  </si>
  <si>
    <t>PAQUETES POR PERSONA (elegir uno)</t>
  </si>
  <si>
    <t>PAQUETE BASICO</t>
  </si>
  <si>
    <t>Incluye por persona: 1 Arepa regular (sabor a escoger) + 5 Tequenos de queso</t>
  </si>
  <si>
    <t>50 personas</t>
  </si>
  <si>
    <t>PAX</t>
  </si>
  <si>
    <t>60 personas</t>
  </si>
  <si>
    <t>70 personas</t>
  </si>
  <si>
    <t>PAQUETE INTERMEDIO</t>
  </si>
  <si>
    <t>Incluye por persona: 1 Arepa regular (sabor a escoger) + 5 Tequenos de queso + 1 Empanada regular</t>
  </si>
  <si>
    <t>PAQUETE PREMIUM</t>
  </si>
  <si>
    <t>Incluye por persona: 1 Arepa regular (sabor a escoger) + 5 Tequenos de queso + 1 Empanada regular + 1 Postre</t>
  </si>
  <si>
    <t>NOTA: El precio final se ajusta con la cantidad de personas confirmada 5 dias antes del evento.</t>
  </si>
  <si>
    <t>PRODUCTOS DISPONIBLES</t>
  </si>
  <si>
    <t>AREPAS (sabores a escoger hasta 4 opciones)</t>
  </si>
  <si>
    <t>Reina Pepiada</t>
  </si>
  <si>
    <t>Pelua (carne mechada + queso amarillo)</t>
  </si>
  <si>
    <t>Catira (pollo + queso amarillo)</t>
  </si>
  <si>
    <t>Pabellon (carne + frijoles + queso + platano)</t>
  </si>
  <si>
    <t>Domino (frijoles + queso)</t>
  </si>
  <si>
    <t>Queso amarillo</t>
  </si>
  <si>
    <t>Queso blanco</t>
  </si>
  <si>
    <t>Arepa dulce con queso blanco</t>
  </si>
  <si>
    <t>EMPANADAS (sabores a escoger hasta 3 opciones)</t>
  </si>
  <si>
    <t>Pollo</t>
  </si>
  <si>
    <t>Carne mechada</t>
  </si>
  <si>
    <t>Pabellon</t>
  </si>
  <si>
    <t>Cazon (pescado)</t>
  </si>
  <si>
    <t>Domino (frijoles + queso) - NUEVA</t>
  </si>
  <si>
    <t>Jamon ahumado y queso - NUEVA</t>
  </si>
  <si>
    <t>POSTRES (escoger 1 opción)</t>
  </si>
  <si>
    <t>Quesillo tradicional</t>
  </si>
  <si>
    <t>Marquesa de Chocolate</t>
  </si>
  <si>
    <t>Arroz con leche</t>
  </si>
  <si>
    <t>SERVICIO DE CATERING</t>
  </si>
  <si>
    <t>Transporte + 2 operarios (2 horas de servicio incluidas)</t>
  </si>
  <si>
    <t>SERV</t>
  </si>
  <si>
    <t>Operario extra (si se requiere)</t>
  </si>
  <si>
    <t>PERS</t>
  </si>
  <si>
    <t>SIN CATERING - Solo entrega en sitio (SIN COSTO)</t>
  </si>
  <si>
    <t>-</t>
  </si>
  <si>
    <t>SUB-TOTAL (segun paquete y pax confirmados)</t>
  </si>
  <si>
    <t>I.V.A.(0%)*</t>
  </si>
  <si>
    <t>TOTAL (segun paquete y pax confirmados)</t>
  </si>
  <si>
    <t>CONDICIONES</t>
  </si>
  <si>
    <t>*</t>
  </si>
  <si>
    <t>Empresa bajo el regimen de tributacion simplificada (0% IVA)</t>
  </si>
  <si>
    <t>Productos todos cocinados y listos para servir</t>
  </si>
  <si>
    <t>El servicio de catering incluye 2 horas en sitio (despues de las 2 horas costo adicional)</t>
  </si>
  <si>
    <t>Los sabores deben confirmarse con al menos 5 días de anticipación</t>
  </si>
  <si>
    <t>La cantidad de personas debe confirmarse con al menos 5 días de anticipación</t>
  </si>
  <si>
    <t>El cliente deberá proveer espacio y conexión eléctrica para los equipos en caso de contratar el catering presencial</t>
  </si>
  <si>
    <t>Al final del evento los productos no consumidos quedan a disposición del cliente</t>
  </si>
  <si>
    <t>Se requiere 50% de anticipo para reservar la fecha</t>
  </si>
  <si>
    <t>Liliana Luna T.</t>
  </si>
  <si>
    <t>Acepta cliente:</t>
  </si>
  <si>
    <t>Gerente Gral Arepartir</t>
  </si>
  <si>
    <t>Nombre y cedula:</t>
  </si>
  <si>
    <t>7188-7945 / 7015-9848</t>
  </si>
  <si>
    <t>Firma:</t>
  </si>
  <si>
    <t>Cliente:</t>
  </si>
  <si>
    <t>Fecha:</t>
  </si>
  <si>
    <t>Fecha del evento:</t>
  </si>
  <si>
    <t>Jamón y queso</t>
  </si>
  <si>
    <t>Transferir a: 937845410 Cuenta Colones BAC de Inversiones Las Chamas de Costa Rica S.A.</t>
  </si>
  <si>
    <t xml:space="preserve">COTIZACION </t>
  </si>
  <si>
    <t xml:space="preserve">EVENTO: Los precios por persona corresponden a la tarifa de 50 pax. </t>
  </si>
  <si>
    <t>Arepitas (precio evento mínimo 50 Unds)</t>
  </si>
  <si>
    <t>Tequeños  (precio evento mínimo 200 Unds)</t>
  </si>
  <si>
    <t>2 /pax</t>
  </si>
  <si>
    <t>4 /pax</t>
  </si>
  <si>
    <t>AREPAS</t>
  </si>
  <si>
    <t>SABORES DISPONIBLES</t>
  </si>
  <si>
    <t>Se requiere 50% de anticipo para reservar la fecha y el 50% restante 24 horas antes del evento</t>
  </si>
  <si>
    <t>La cancelación del evento por parte del cliente ocasionará la pérdida del anticipo</t>
  </si>
  <si>
    <t>Si la cancelación del evento es por parte del restaurant el reembolso es del 100% del anticipo hecho por el cliente</t>
  </si>
  <si>
    <t>Reina Pepiada (70 und)</t>
  </si>
  <si>
    <t>Pelua (25 und)</t>
  </si>
  <si>
    <t>Jamón y queso (20 und)</t>
  </si>
  <si>
    <t>Catira (19 und)</t>
  </si>
  <si>
    <r>
      <rPr>
        <b/>
        <sz val="11"/>
        <rFont val="Aptos"/>
        <family val="2"/>
      </rPr>
      <t xml:space="preserve">Nota: </t>
    </r>
    <r>
      <rPr>
        <sz val="11"/>
        <rFont val="Aptos"/>
        <family val="2"/>
      </rPr>
      <t>A solicitud del cliente se contempla adicionalmente 30 arepitas las cuales se ajustarán al monto del evento si son consumidas por el cliente.</t>
    </r>
  </si>
  <si>
    <t>Cliente: Andrés Corrales</t>
  </si>
  <si>
    <t xml:space="preserve">Cliente: </t>
  </si>
  <si>
    <t xml:space="preserve">Direccion: </t>
  </si>
  <si>
    <t xml:space="preserve">EVENTO: Los precios por persona corresponden a la tarifa de 12 pax. </t>
  </si>
  <si>
    <t>Arepas ( 24 Und)</t>
  </si>
  <si>
    <t>Reina Pepiada (60 und)</t>
  </si>
  <si>
    <t>Pelua (30 und)</t>
  </si>
  <si>
    <t>Jamón y queso (25 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</si>
</sst>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_(* #,##0.00_);_(* \(#,##0.00\);_(* \-??_);_(@_)"/>
    <numFmt numFmtId="166" formatCode="_-[$₡-140A]* #,##0.00_-;\-[$₡-140A]* #,##0.00_-;_-[$₡-140A]* \-??_-;_-@_-"/>
    <numFmt numFmtId="167" formatCode="_-[$₡-140A]* #,##0_-;\-[$₡-140A]* #,##0_-;_-[$₡-140A]* \-??_-;_-@_-"/>
  </numFmts>
  <fonts count="11" x14ac:knownFonts="1">
    <font>
      <sz val="11"/>
      <color theme="1"/>
      <name val="Calibri"/>
      <family val="2"/>
      <charset val="1"/>
    </font>
    <font>
      <sz val="11"/>
      <name val="Aptos"/>
      <charset val="1"/>
    </font>
    <font>
      <sz val="11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b/>
      <sz val="11"/>
      <color rgb="FFFF0000"/>
      <name val="Aptos"/>
      <family val="2"/>
    </font>
    <font>
      <b/>
      <sz val="11"/>
      <color theme="0"/>
      <name val="Aptos"/>
      <family val="2"/>
    </font>
    <font>
      <sz val="8"/>
      <name val="Calibri"/>
      <family val="2"/>
      <charset val="1"/>
    </font>
    <font>
      <sz val="10"/>
      <name val="Aptos"/>
      <family val="2"/>
    </font>
    <font>
      <b/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1" xfId="0" applyFont="1" applyBorder="1"/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2" xfId="0" applyFont="1" applyBorder="1"/>
    <xf numFmtId="0" fontId="2" fillId="0" borderId="3" xfId="0" applyFont="1" applyBorder="1" applyAlignment="1">
      <alignment vertical="center" wrapText="1"/>
    </xf>
    <xf numFmtId="0" fontId="5" fillId="0" borderId="4" xfId="0" applyFont="1" applyBorder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167" fontId="2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167" fontId="2" fillId="0" borderId="3" xfId="0" applyNumberFormat="1" applyFont="1" applyBorder="1" applyAlignment="1">
      <alignment vertical="center" wrapText="1"/>
    </xf>
    <xf numFmtId="167" fontId="5" fillId="0" borderId="2" xfId="0" applyNumberFormat="1" applyFont="1" applyBorder="1"/>
    <xf numFmtId="14" fontId="2" fillId="3" borderId="0" xfId="0" applyNumberFormat="1" applyFont="1" applyFill="1" applyAlignment="1">
      <alignment horizontal="right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right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56</xdr:row>
      <xdr:rowOff>28576</xdr:rowOff>
    </xdr:from>
    <xdr:to>
      <xdr:col>1</xdr:col>
      <xdr:colOff>1676400</xdr:colOff>
      <xdr:row>58</xdr:row>
      <xdr:rowOff>161926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3798B82D-C84F-49EB-BB64-F9A01E02B2A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85826" y="11534776"/>
          <a:ext cx="1666874" cy="5143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21897</xdr:colOff>
      <xdr:row>39</xdr:row>
      <xdr:rowOff>49223</xdr:rowOff>
    </xdr:from>
    <xdr:ext cx="1666874" cy="50898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B0F7D68-0FB0-4617-9C16-5AF521E4662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4322" y="7478723"/>
          <a:ext cx="1666874" cy="508983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21897</xdr:colOff>
      <xdr:row>39</xdr:row>
      <xdr:rowOff>49223</xdr:rowOff>
    </xdr:from>
    <xdr:ext cx="1666874" cy="508983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B11187F3-E359-417D-BECA-8EE78B23BE7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4446" y="44606431"/>
          <a:ext cx="1666874" cy="508983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zoomScaleNormal="100" workbookViewId="0">
      <selection activeCell="B23" sqref="B23"/>
    </sheetView>
  </sheetViews>
  <sheetFormatPr baseColWidth="10" defaultColWidth="8.7109375" defaultRowHeight="15" customHeight="1" x14ac:dyDescent="0.25"/>
  <cols>
    <col min="1" max="1" width="4.85546875" customWidth="1"/>
    <col min="2" max="2" width="37.85546875" customWidth="1"/>
    <col min="4" max="4" width="6.140625" customWidth="1"/>
    <col min="5" max="5" width="18" customWidth="1"/>
    <col min="6" max="6" width="15.5703125" customWidth="1"/>
    <col min="7" max="7" width="8.85546875" customWidth="1"/>
  </cols>
  <sheetData>
    <row r="1" spans="1:6" s="2" customFormat="1" x14ac:dyDescent="0.25">
      <c r="A1" s="3" t="s">
        <v>2</v>
      </c>
      <c r="E1" s="59" t="s">
        <v>3</v>
      </c>
      <c r="F1" s="59"/>
    </row>
    <row r="2" spans="1:6" s="2" customFormat="1" x14ac:dyDescent="0.25">
      <c r="A2" s="4" t="s">
        <v>4</v>
      </c>
      <c r="D2" s="5"/>
      <c r="E2" s="6" t="s">
        <v>1</v>
      </c>
      <c r="F2" s="7" t="s">
        <v>0</v>
      </c>
    </row>
    <row r="3" spans="1:6" s="2" customFormat="1" x14ac:dyDescent="0.25">
      <c r="A3" s="2" t="s">
        <v>72</v>
      </c>
      <c r="E3" s="8" t="s">
        <v>73</v>
      </c>
      <c r="F3" s="9">
        <v>46083</v>
      </c>
    </row>
    <row r="4" spans="1:6" s="2" customFormat="1" x14ac:dyDescent="0.25">
      <c r="A4" s="3" t="s">
        <v>5</v>
      </c>
      <c r="E4" s="8" t="s">
        <v>74</v>
      </c>
      <c r="F4" s="9">
        <v>46096</v>
      </c>
    </row>
    <row r="5" spans="1:6" s="2" customFormat="1" ht="15" customHeight="1" x14ac:dyDescent="0.25"/>
    <row r="6" spans="1:6" s="2" customFormat="1" x14ac:dyDescent="0.25">
      <c r="A6" s="3" t="s">
        <v>6</v>
      </c>
    </row>
    <row r="7" spans="1:6" s="2" customFormat="1" ht="21" customHeight="1" x14ac:dyDescent="0.25">
      <c r="A7" s="11" t="s">
        <v>7</v>
      </c>
      <c r="B7" s="12" t="s">
        <v>8</v>
      </c>
      <c r="C7" s="11" t="s">
        <v>9</v>
      </c>
      <c r="D7" s="11" t="s">
        <v>10</v>
      </c>
      <c r="E7" s="11" t="s">
        <v>11</v>
      </c>
      <c r="F7" s="11" t="s">
        <v>12</v>
      </c>
    </row>
    <row r="8" spans="1:6" s="2" customFormat="1" ht="15" customHeight="1" x14ac:dyDescent="0.25">
      <c r="A8" s="13">
        <v>1</v>
      </c>
      <c r="B8" s="51" t="s">
        <v>13</v>
      </c>
      <c r="C8" s="51"/>
      <c r="D8" s="51"/>
      <c r="E8" s="51"/>
      <c r="F8" s="51"/>
    </row>
    <row r="9" spans="1:6" s="2" customFormat="1" ht="15" customHeight="1" x14ac:dyDescent="0.25">
      <c r="A9" s="15">
        <v>1.1000000000000001</v>
      </c>
      <c r="B9" s="16" t="s">
        <v>14</v>
      </c>
    </row>
    <row r="10" spans="1:6" s="2" customFormat="1" x14ac:dyDescent="0.25">
      <c r="A10" s="8"/>
      <c r="B10" s="49" t="s">
        <v>15</v>
      </c>
      <c r="C10" s="49"/>
      <c r="D10" s="49"/>
      <c r="E10" s="49"/>
      <c r="F10" s="49"/>
    </row>
    <row r="11" spans="1:6" s="2" customFormat="1" ht="15" customHeight="1" x14ac:dyDescent="0.25">
      <c r="A11" s="8"/>
      <c r="B11" s="10" t="s">
        <v>16</v>
      </c>
      <c r="C11" s="17">
        <v>50</v>
      </c>
      <c r="D11" s="18" t="s">
        <v>17</v>
      </c>
      <c r="E11" s="19">
        <v>7000</v>
      </c>
      <c r="F11" s="19">
        <f>C11*E11</f>
        <v>350000</v>
      </c>
    </row>
    <row r="12" spans="1:6" s="2" customFormat="1" ht="15" customHeight="1" x14ac:dyDescent="0.25">
      <c r="A12" s="8"/>
      <c r="B12" s="10" t="s">
        <v>18</v>
      </c>
      <c r="C12" s="17">
        <v>60</v>
      </c>
      <c r="D12" s="18" t="s">
        <v>17</v>
      </c>
      <c r="E12" s="19">
        <v>7000</v>
      </c>
      <c r="F12" s="19">
        <f>C12*E12</f>
        <v>420000</v>
      </c>
    </row>
    <row r="13" spans="1:6" s="2" customFormat="1" ht="15" customHeight="1" x14ac:dyDescent="0.25">
      <c r="A13" s="8"/>
      <c r="B13" s="10" t="s">
        <v>19</v>
      </c>
      <c r="C13" s="17">
        <v>70</v>
      </c>
      <c r="D13" s="18" t="s">
        <v>17</v>
      </c>
      <c r="E13" s="19">
        <v>7000</v>
      </c>
      <c r="F13" s="19">
        <f>C13*E13</f>
        <v>490000</v>
      </c>
    </row>
    <row r="14" spans="1:6" s="2" customFormat="1" ht="15" customHeight="1" x14ac:dyDescent="0.25">
      <c r="A14" s="20">
        <v>1.2</v>
      </c>
      <c r="B14" s="51" t="s">
        <v>20</v>
      </c>
      <c r="C14" s="51"/>
      <c r="D14" s="51"/>
      <c r="E14" s="51"/>
      <c r="F14" s="51"/>
    </row>
    <row r="15" spans="1:6" s="2" customFormat="1" ht="30" customHeight="1" x14ac:dyDescent="0.25">
      <c r="A15" s="8"/>
      <c r="B15" s="56" t="s">
        <v>21</v>
      </c>
      <c r="C15" s="56"/>
      <c r="D15" s="56"/>
      <c r="E15" s="56"/>
      <c r="F15" s="56"/>
    </row>
    <row r="16" spans="1:6" s="2" customFormat="1" x14ac:dyDescent="0.25">
      <c r="A16" s="8"/>
      <c r="B16" s="10" t="s">
        <v>16</v>
      </c>
      <c r="C16" s="17">
        <v>50</v>
      </c>
      <c r="D16" s="18" t="s">
        <v>17</v>
      </c>
      <c r="E16" s="19">
        <v>8750</v>
      </c>
      <c r="F16" s="19">
        <f>C16*E16</f>
        <v>437500</v>
      </c>
    </row>
    <row r="17" spans="1:6" s="2" customFormat="1" ht="15" customHeight="1" x14ac:dyDescent="0.25">
      <c r="A17" s="8"/>
      <c r="B17" s="10" t="s">
        <v>18</v>
      </c>
      <c r="C17" s="17">
        <v>60</v>
      </c>
      <c r="D17" s="18" t="s">
        <v>17</v>
      </c>
      <c r="E17" s="19">
        <v>8750</v>
      </c>
      <c r="F17" s="19">
        <f>C17*E17</f>
        <v>525000</v>
      </c>
    </row>
    <row r="18" spans="1:6" s="2" customFormat="1" x14ac:dyDescent="0.25">
      <c r="A18" s="8"/>
      <c r="B18" s="10" t="s">
        <v>19</v>
      </c>
      <c r="C18" s="17">
        <v>70</v>
      </c>
      <c r="D18" s="18" t="s">
        <v>17</v>
      </c>
      <c r="E18" s="19">
        <v>8750</v>
      </c>
      <c r="F18" s="19">
        <f>C18*E18</f>
        <v>612500</v>
      </c>
    </row>
    <row r="19" spans="1:6" s="2" customFormat="1" ht="15" customHeight="1" x14ac:dyDescent="0.25">
      <c r="A19" s="20">
        <v>1.3</v>
      </c>
      <c r="B19" s="14" t="s">
        <v>22</v>
      </c>
      <c r="C19" s="26"/>
      <c r="D19" s="26"/>
      <c r="E19" s="26"/>
      <c r="F19" s="26"/>
    </row>
    <row r="20" spans="1:6" s="2" customFormat="1" ht="30" customHeight="1" x14ac:dyDescent="0.25">
      <c r="A20" s="8"/>
      <c r="B20" s="49" t="s">
        <v>23</v>
      </c>
      <c r="C20" s="49"/>
      <c r="D20" s="49"/>
      <c r="E20" s="49"/>
      <c r="F20" s="49"/>
    </row>
    <row r="21" spans="1:6" s="2" customFormat="1" ht="15" customHeight="1" x14ac:dyDescent="0.25">
      <c r="B21" s="10" t="s">
        <v>16</v>
      </c>
      <c r="C21" s="17">
        <v>50</v>
      </c>
      <c r="D21" s="18" t="s">
        <v>17</v>
      </c>
      <c r="E21" s="19">
        <v>9500</v>
      </c>
      <c r="F21" s="19">
        <f>C21*E21</f>
        <v>475000</v>
      </c>
    </row>
    <row r="22" spans="1:6" s="2" customFormat="1" ht="15" customHeight="1" x14ac:dyDescent="0.25">
      <c r="B22" s="10" t="s">
        <v>18</v>
      </c>
      <c r="C22" s="17">
        <v>60</v>
      </c>
      <c r="D22" s="18" t="s">
        <v>17</v>
      </c>
      <c r="E22" s="19">
        <v>9500</v>
      </c>
      <c r="F22" s="19">
        <f>C22*E22</f>
        <v>570000</v>
      </c>
    </row>
    <row r="23" spans="1:6" s="2" customFormat="1" ht="15" customHeight="1" x14ac:dyDescent="0.25">
      <c r="B23" s="10" t="s">
        <v>19</v>
      </c>
      <c r="C23" s="17">
        <v>70</v>
      </c>
      <c r="D23" s="18" t="s">
        <v>17</v>
      </c>
      <c r="E23" s="19">
        <v>9500</v>
      </c>
      <c r="F23" s="19">
        <f>C23*E23</f>
        <v>665000</v>
      </c>
    </row>
    <row r="24" spans="1:6" s="2" customFormat="1" ht="30" customHeight="1" x14ac:dyDescent="0.25">
      <c r="B24" s="58" t="s">
        <v>24</v>
      </c>
      <c r="C24" s="58"/>
      <c r="D24" s="58"/>
      <c r="E24" s="58"/>
      <c r="F24" s="58"/>
    </row>
    <row r="25" spans="1:6" s="2" customFormat="1" ht="15" customHeight="1" x14ac:dyDescent="0.25">
      <c r="A25" s="13">
        <v>2</v>
      </c>
      <c r="B25" s="51" t="s">
        <v>25</v>
      </c>
      <c r="C25" s="51"/>
      <c r="D25" s="51"/>
      <c r="E25" s="51"/>
      <c r="F25" s="51"/>
    </row>
    <row r="26" spans="1:6" s="2" customFormat="1" ht="15" customHeight="1" x14ac:dyDescent="0.25">
      <c r="A26" s="15">
        <v>2.1</v>
      </c>
      <c r="B26" s="16" t="s">
        <v>26</v>
      </c>
    </row>
    <row r="27" spans="1:6" s="2" customFormat="1" ht="15" customHeight="1" x14ac:dyDescent="0.25">
      <c r="A27" s="28" t="s">
        <v>57</v>
      </c>
      <c r="B27" s="25" t="s">
        <v>27</v>
      </c>
      <c r="C27" s="25"/>
      <c r="D27" s="28" t="s">
        <v>57</v>
      </c>
      <c r="E27" s="25" t="s">
        <v>75</v>
      </c>
      <c r="F27" s="25"/>
    </row>
    <row r="28" spans="1:6" s="2" customFormat="1" ht="15" customHeight="1" x14ac:dyDescent="0.25">
      <c r="A28" s="28" t="s">
        <v>57</v>
      </c>
      <c r="B28" s="10" t="s">
        <v>28</v>
      </c>
      <c r="D28" s="28" t="s">
        <v>57</v>
      </c>
      <c r="E28" s="25" t="s">
        <v>32</v>
      </c>
      <c r="F28" s="25"/>
    </row>
    <row r="29" spans="1:6" s="2" customFormat="1" ht="15" customHeight="1" x14ac:dyDescent="0.25">
      <c r="A29" s="28" t="s">
        <v>57</v>
      </c>
      <c r="B29" s="25" t="s">
        <v>29</v>
      </c>
      <c r="C29" s="25"/>
      <c r="D29" s="28" t="s">
        <v>57</v>
      </c>
      <c r="E29" s="25" t="s">
        <v>33</v>
      </c>
      <c r="F29" s="25"/>
    </row>
    <row r="30" spans="1:6" s="2" customFormat="1" ht="15" customHeight="1" x14ac:dyDescent="0.25">
      <c r="A30" s="28" t="s">
        <v>57</v>
      </c>
      <c r="B30" s="10" t="s">
        <v>30</v>
      </c>
      <c r="D30" s="28" t="s">
        <v>57</v>
      </c>
      <c r="E30" s="49" t="s">
        <v>34</v>
      </c>
      <c r="F30" s="49"/>
    </row>
    <row r="31" spans="1:6" s="2" customFormat="1" ht="15" customHeight="1" x14ac:dyDescent="0.25">
      <c r="A31" s="28" t="s">
        <v>57</v>
      </c>
      <c r="B31" s="25" t="s">
        <v>31</v>
      </c>
      <c r="C31" s="25"/>
      <c r="D31" s="25"/>
      <c r="E31" s="10"/>
      <c r="F31" s="10"/>
    </row>
    <row r="32" spans="1:6" s="2" customFormat="1" ht="15" customHeight="1" x14ac:dyDescent="0.25">
      <c r="A32" s="15">
        <v>2.2000000000000002</v>
      </c>
      <c r="B32" s="16" t="s">
        <v>35</v>
      </c>
    </row>
    <row r="33" spans="1:6" s="2" customFormat="1" ht="15" customHeight="1" x14ac:dyDescent="0.25">
      <c r="A33" s="28" t="s">
        <v>57</v>
      </c>
      <c r="B33" s="25" t="s">
        <v>36</v>
      </c>
      <c r="C33" s="25"/>
      <c r="D33" s="28" t="s">
        <v>57</v>
      </c>
      <c r="E33" s="10" t="s">
        <v>38</v>
      </c>
      <c r="F33" s="25"/>
    </row>
    <row r="34" spans="1:6" s="2" customFormat="1" ht="15" customHeight="1" x14ac:dyDescent="0.25">
      <c r="A34" s="28" t="s">
        <v>57</v>
      </c>
      <c r="B34" s="10" t="s">
        <v>37</v>
      </c>
      <c r="D34" s="28" t="s">
        <v>57</v>
      </c>
      <c r="E34" s="25" t="s">
        <v>39</v>
      </c>
    </row>
    <row r="35" spans="1:6" s="2" customFormat="1" ht="15" customHeight="1" x14ac:dyDescent="0.25">
      <c r="A35" s="28" t="s">
        <v>57</v>
      </c>
      <c r="B35" s="25" t="s">
        <v>33</v>
      </c>
      <c r="C35" s="25"/>
      <c r="D35" s="28" t="s">
        <v>57</v>
      </c>
      <c r="E35" s="57" t="s">
        <v>40</v>
      </c>
      <c r="F35" s="57"/>
    </row>
    <row r="36" spans="1:6" s="2" customFormat="1" ht="15" customHeight="1" x14ac:dyDescent="0.25">
      <c r="A36" s="28" t="s">
        <v>57</v>
      </c>
      <c r="B36" s="25" t="s">
        <v>41</v>
      </c>
      <c r="C36" s="25"/>
      <c r="D36" s="28"/>
      <c r="E36" s="1"/>
      <c r="F36" s="1"/>
    </row>
    <row r="37" spans="1:6" s="2" customFormat="1" ht="15" customHeight="1" x14ac:dyDescent="0.25">
      <c r="A37" s="15">
        <v>2.2999999999999998</v>
      </c>
      <c r="B37" s="16" t="s">
        <v>42</v>
      </c>
    </row>
    <row r="38" spans="1:6" s="2" customFormat="1" ht="15" customHeight="1" x14ac:dyDescent="0.25">
      <c r="A38" s="28" t="s">
        <v>57</v>
      </c>
      <c r="B38" s="25" t="s">
        <v>43</v>
      </c>
      <c r="C38" s="25"/>
      <c r="D38" s="28" t="s">
        <v>57</v>
      </c>
      <c r="E38" s="49" t="s">
        <v>44</v>
      </c>
      <c r="F38" s="49"/>
    </row>
    <row r="39" spans="1:6" s="2" customFormat="1" ht="15" customHeight="1" x14ac:dyDescent="0.25">
      <c r="A39" s="28" t="s">
        <v>57</v>
      </c>
      <c r="B39" s="25" t="s">
        <v>45</v>
      </c>
      <c r="C39" s="25"/>
      <c r="D39" s="25"/>
      <c r="E39" s="25"/>
      <c r="F39" s="25"/>
    </row>
    <row r="40" spans="1:6" s="2" customFormat="1" ht="15" customHeight="1" x14ac:dyDescent="0.25">
      <c r="A40" s="13">
        <v>3</v>
      </c>
      <c r="B40" s="51" t="s">
        <v>46</v>
      </c>
      <c r="C40" s="51"/>
      <c r="D40" s="51"/>
      <c r="E40" s="51"/>
      <c r="F40" s="51"/>
    </row>
    <row r="41" spans="1:6" s="2" customFormat="1" ht="30" customHeight="1" x14ac:dyDescent="0.25">
      <c r="A41" s="21">
        <v>3.1</v>
      </c>
      <c r="B41" s="10" t="s">
        <v>47</v>
      </c>
      <c r="C41" s="17">
        <v>1</v>
      </c>
      <c r="D41" s="18" t="s">
        <v>48</v>
      </c>
      <c r="E41" s="19">
        <v>75000</v>
      </c>
      <c r="F41" s="19">
        <v>75000</v>
      </c>
    </row>
    <row r="42" spans="1:6" s="2" customFormat="1" ht="15" customHeight="1" x14ac:dyDescent="0.25">
      <c r="A42" s="21">
        <v>3.2</v>
      </c>
      <c r="B42" s="10" t="s">
        <v>49</v>
      </c>
      <c r="C42" s="17">
        <v>1</v>
      </c>
      <c r="D42" s="18" t="s">
        <v>50</v>
      </c>
      <c r="E42" s="19">
        <v>20000</v>
      </c>
      <c r="F42" s="19">
        <v>20000</v>
      </c>
    </row>
    <row r="43" spans="1:6" s="2" customFormat="1" ht="15" customHeight="1" thickBot="1" x14ac:dyDescent="0.3">
      <c r="A43" s="13">
        <v>4</v>
      </c>
      <c r="B43" s="14" t="s">
        <v>51</v>
      </c>
      <c r="C43" s="22">
        <v>1</v>
      </c>
      <c r="D43" s="22"/>
      <c r="E43" s="23" t="s">
        <v>52</v>
      </c>
      <c r="F43" s="24">
        <v>0</v>
      </c>
    </row>
    <row r="44" spans="1:6" s="2" customFormat="1" ht="15" customHeight="1" x14ac:dyDescent="0.25">
      <c r="B44" s="54" t="s">
        <v>53</v>
      </c>
      <c r="C44" s="54"/>
      <c r="D44" s="54"/>
      <c r="E44" s="54"/>
      <c r="F44" s="31"/>
    </row>
    <row r="45" spans="1:6" s="2" customFormat="1" ht="15" customHeight="1" thickBot="1" x14ac:dyDescent="0.3">
      <c r="B45" s="54" t="s">
        <v>54</v>
      </c>
      <c r="C45" s="54"/>
      <c r="D45" s="54"/>
      <c r="E45" s="54"/>
      <c r="F45" s="32"/>
    </row>
    <row r="46" spans="1:6" s="2" customFormat="1" ht="15" customHeight="1" thickBot="1" x14ac:dyDescent="0.3">
      <c r="B46" s="55" t="s">
        <v>55</v>
      </c>
      <c r="C46" s="55"/>
      <c r="D46" s="55"/>
      <c r="E46" s="55"/>
      <c r="F46" s="30"/>
    </row>
    <row r="47" spans="1:6" s="2" customFormat="1" ht="15" customHeight="1" x14ac:dyDescent="0.25">
      <c r="B47" s="16" t="s">
        <v>56</v>
      </c>
    </row>
    <row r="48" spans="1:6" s="2" customFormat="1" x14ac:dyDescent="0.25">
      <c r="A48" s="28" t="s">
        <v>57</v>
      </c>
      <c r="B48" s="49" t="s">
        <v>58</v>
      </c>
      <c r="C48" s="49"/>
      <c r="D48" s="49"/>
      <c r="E48" s="49"/>
      <c r="F48" s="49"/>
    </row>
    <row r="49" spans="1:6" s="2" customFormat="1" ht="15" customHeight="1" x14ac:dyDescent="0.25">
      <c r="A49" s="28" t="s">
        <v>57</v>
      </c>
      <c r="B49" s="49" t="s">
        <v>59</v>
      </c>
      <c r="C49" s="49"/>
      <c r="D49" s="49"/>
      <c r="E49" s="49"/>
      <c r="F49" s="49"/>
    </row>
    <row r="50" spans="1:6" s="2" customFormat="1" x14ac:dyDescent="0.25">
      <c r="A50" s="28" t="s">
        <v>57</v>
      </c>
      <c r="B50" s="49" t="s">
        <v>60</v>
      </c>
      <c r="C50" s="49"/>
      <c r="D50" s="49"/>
      <c r="E50" s="49"/>
      <c r="F50" s="49"/>
    </row>
    <row r="51" spans="1:6" s="2" customFormat="1" x14ac:dyDescent="0.25">
      <c r="A51" s="28" t="s">
        <v>57</v>
      </c>
      <c r="B51" s="49" t="s">
        <v>61</v>
      </c>
      <c r="C51" s="49"/>
      <c r="D51" s="49"/>
      <c r="E51" s="49"/>
      <c r="F51" s="49"/>
    </row>
    <row r="52" spans="1:6" s="2" customFormat="1" x14ac:dyDescent="0.25">
      <c r="A52" s="28" t="s">
        <v>57</v>
      </c>
      <c r="B52" s="49" t="s">
        <v>62</v>
      </c>
      <c r="C52" s="49"/>
      <c r="D52" s="49"/>
      <c r="E52" s="49"/>
      <c r="F52" s="49"/>
    </row>
    <row r="53" spans="1:6" s="2" customFormat="1" x14ac:dyDescent="0.25">
      <c r="A53" s="28" t="s">
        <v>57</v>
      </c>
      <c r="B53" s="49" t="s">
        <v>63</v>
      </c>
      <c r="C53" s="49"/>
      <c r="D53" s="49"/>
      <c r="E53" s="49"/>
      <c r="F53" s="49"/>
    </row>
    <row r="54" spans="1:6" s="2" customFormat="1" x14ac:dyDescent="0.25">
      <c r="A54" s="28" t="s">
        <v>57</v>
      </c>
      <c r="B54" s="49" t="s">
        <v>64</v>
      </c>
      <c r="C54" s="49"/>
      <c r="D54" s="49"/>
      <c r="E54" s="49"/>
      <c r="F54" s="49"/>
    </row>
    <row r="55" spans="1:6" s="2" customFormat="1" ht="15" customHeight="1" x14ac:dyDescent="0.25">
      <c r="A55" s="28" t="s">
        <v>57</v>
      </c>
      <c r="B55" s="49" t="s">
        <v>65</v>
      </c>
      <c r="C55" s="49"/>
      <c r="D55" s="49"/>
      <c r="E55" s="49"/>
      <c r="F55" s="49"/>
    </row>
    <row r="56" spans="1:6" s="2" customFormat="1" ht="15" customHeight="1" x14ac:dyDescent="0.25">
      <c r="A56" s="28"/>
      <c r="B56" s="10"/>
      <c r="C56" s="10"/>
      <c r="D56" s="10"/>
      <c r="E56" s="10"/>
      <c r="F56" s="10"/>
    </row>
    <row r="57" spans="1:6" s="2" customFormat="1" ht="15" customHeight="1" x14ac:dyDescent="0.25">
      <c r="A57" s="28"/>
      <c r="B57" s="10"/>
      <c r="C57" s="10"/>
      <c r="D57" s="10"/>
      <c r="E57" s="10"/>
      <c r="F57" s="10"/>
    </row>
    <row r="58" spans="1:6" s="2" customFormat="1" ht="15" customHeight="1" x14ac:dyDescent="0.25"/>
    <row r="59" spans="1:6" s="2" customFormat="1" ht="15" customHeight="1" x14ac:dyDescent="0.25"/>
    <row r="60" spans="1:6" s="2" customFormat="1" ht="15" customHeight="1" x14ac:dyDescent="0.25">
      <c r="B60" s="10" t="s">
        <v>66</v>
      </c>
      <c r="E60" s="29" t="s">
        <v>67</v>
      </c>
    </row>
    <row r="61" spans="1:6" s="2" customFormat="1" ht="15" customHeight="1" x14ac:dyDescent="0.25">
      <c r="B61" s="10" t="s">
        <v>68</v>
      </c>
      <c r="E61" s="29" t="s">
        <v>69</v>
      </c>
    </row>
    <row r="62" spans="1:6" s="2" customFormat="1" x14ac:dyDescent="0.25">
      <c r="B62" s="10" t="s">
        <v>70</v>
      </c>
      <c r="E62" s="29" t="s">
        <v>71</v>
      </c>
    </row>
    <row r="63" spans="1:6" s="2" customFormat="1" ht="15" customHeight="1" x14ac:dyDescent="0.25"/>
    <row r="64" spans="1:6" s="2" customFormat="1" ht="15" customHeight="1" x14ac:dyDescent="0.25">
      <c r="A64" s="49" t="s">
        <v>76</v>
      </c>
      <c r="B64" s="49"/>
      <c r="C64" s="49"/>
      <c r="D64" s="49"/>
      <c r="E64" s="49"/>
      <c r="F64" s="49"/>
    </row>
  </sheetData>
  <mergeCells count="24">
    <mergeCell ref="B46:E46"/>
    <mergeCell ref="B48:F48"/>
    <mergeCell ref="B49:F49"/>
    <mergeCell ref="E1:F1"/>
    <mergeCell ref="B8:F8"/>
    <mergeCell ref="B10:F10"/>
    <mergeCell ref="B14:F14"/>
    <mergeCell ref="B20:F20"/>
    <mergeCell ref="B55:F55"/>
    <mergeCell ref="A64:F64"/>
    <mergeCell ref="B15:F15"/>
    <mergeCell ref="E35:F35"/>
    <mergeCell ref="B50:F50"/>
    <mergeCell ref="B51:F51"/>
    <mergeCell ref="B52:F52"/>
    <mergeCell ref="B53:F53"/>
    <mergeCell ref="B54:F54"/>
    <mergeCell ref="B24:F24"/>
    <mergeCell ref="B25:F25"/>
    <mergeCell ref="E30:F30"/>
    <mergeCell ref="E38:F38"/>
    <mergeCell ref="B40:F40"/>
    <mergeCell ref="B44:E44"/>
    <mergeCell ref="B45:E45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A64F-491D-47A5-A341-6ED1EA00C4C1}">
  <sheetPr>
    <pageSetUpPr fitToPage="1"/>
  </sheetPr>
  <dimension ref="A1:F48"/>
  <sheetViews>
    <sheetView tabSelected="1" view="pageLayout" zoomScale="154" zoomScaleNormal="100" zoomScalePageLayoutView="154" workbookViewId="0">
      <selection activeCell="A47" sqref="A1:F48"/>
    </sheetView>
  </sheetViews>
  <sheetFormatPr baseColWidth="10" defaultColWidth="8.7109375" defaultRowHeight="15" customHeight="1" x14ac:dyDescent="0.25"/>
  <cols>
    <col min="1" max="1" width="4.85546875" style="2" customWidth="1"/>
    <col min="2" max="2" width="43.5703125" style="2" customWidth="1"/>
    <col min="3" max="3" width="8.7109375" style="2"/>
    <col min="4" max="4" width="7.28515625" style="41" bestFit="1" customWidth="1"/>
    <col min="5" max="5" width="18.42578125" style="2" customWidth="1"/>
    <col min="6" max="6" width="15.85546875" style="2" customWidth="1"/>
    <col min="7" max="7" width="8.85546875" style="2" customWidth="1"/>
    <col min="8" max="16384" width="8.7109375" style="2"/>
  </cols>
  <sheetData>
    <row r="1" spans="1:6" ht="15" customHeight="1" x14ac:dyDescent="0.25">
      <c r="A1" s="28"/>
      <c r="B1" s="25"/>
      <c r="C1" s="25"/>
      <c r="D1" s="43"/>
      <c r="E1" s="25"/>
      <c r="F1" s="25"/>
    </row>
    <row r="2" spans="1:6" ht="15" customHeight="1" x14ac:dyDescent="0.25">
      <c r="A2" s="28"/>
      <c r="B2" s="25"/>
      <c r="C2" s="25"/>
      <c r="D2" s="43"/>
      <c r="E2" s="25"/>
      <c r="F2" s="25"/>
    </row>
    <row r="3" spans="1:6" ht="15" customHeight="1" x14ac:dyDescent="0.25">
      <c r="A3" s="28"/>
      <c r="B3" s="25"/>
      <c r="C3" s="25"/>
      <c r="D3" s="43"/>
      <c r="E3" s="25"/>
      <c r="F3" s="25"/>
    </row>
    <row r="4" spans="1:6" ht="15" customHeight="1" x14ac:dyDescent="0.25">
      <c r="A4" s="28"/>
      <c r="B4" s="25"/>
      <c r="C4" s="25"/>
      <c r="D4" s="43"/>
      <c r="E4" s="25"/>
      <c r="F4" s="25"/>
    </row>
    <row r="5" spans="1:6" ht="15" customHeight="1" x14ac:dyDescent="0.25">
      <c r="A5" s="28"/>
      <c r="B5" s="25"/>
      <c r="C5" s="25"/>
      <c r="D5" s="43"/>
      <c r="E5" s="25"/>
      <c r="F5" s="25"/>
    </row>
    <row r="6" spans="1:6" ht="15" customHeight="1" x14ac:dyDescent="0.25">
      <c r="A6" s="28"/>
      <c r="B6" s="25"/>
      <c r="C6" s="25"/>
      <c r="D6" s="43"/>
      <c r="E6" s="25"/>
      <c r="F6" s="25"/>
    </row>
    <row r="7" spans="1:6" ht="15" customHeight="1" x14ac:dyDescent="0.25">
      <c r="A7" s="33" t="s">
        <v>2</v>
      </c>
      <c r="B7" s="37"/>
      <c r="C7" s="37"/>
      <c r="D7" s="44"/>
      <c r="E7" s="52" t="s">
        <v>3</v>
      </c>
      <c r="F7" s="52"/>
    </row>
    <row r="8" spans="1:6" ht="15" customHeight="1" x14ac:dyDescent="0.25">
      <c r="A8" s="35" t="s">
        <v>77</v>
      </c>
      <c r="B8" s="37"/>
      <c r="C8" s="37"/>
      <c r="D8" s="36"/>
      <c r="E8" s="34" t="s">
        <v>7</v>
      </c>
      <c r="F8" s="38">
        <v>1011</v>
      </c>
    </row>
    <row r="9" spans="1:6" ht="15" customHeight="1" x14ac:dyDescent="0.25">
      <c r="A9" s="37" t="s">
        <v>93</v>
      </c>
      <c r="B9" s="37"/>
      <c r="C9" s="37"/>
      <c r="D9" s="44"/>
      <c r="E9" s="39" t="s">
        <v>73</v>
      </c>
      <c r="F9" s="47">
        <v>46090</v>
      </c>
    </row>
    <row r="10" spans="1:6" ht="15" customHeight="1" x14ac:dyDescent="0.25">
      <c r="A10" s="33" t="s">
        <v>5</v>
      </c>
      <c r="B10" s="37"/>
      <c r="C10" s="37"/>
      <c r="D10" s="44"/>
      <c r="E10" s="39" t="s">
        <v>74</v>
      </c>
      <c r="F10" s="47">
        <v>46096</v>
      </c>
    </row>
    <row r="11" spans="1:6" ht="15" customHeight="1" x14ac:dyDescent="0.25">
      <c r="A11" s="33" t="s">
        <v>78</v>
      </c>
      <c r="B11" s="37"/>
      <c r="C11" s="37"/>
      <c r="D11" s="44"/>
      <c r="E11" s="37"/>
      <c r="F11" s="37"/>
    </row>
    <row r="12" spans="1:6" ht="15" customHeight="1" x14ac:dyDescent="0.25">
      <c r="A12" s="11" t="s">
        <v>7</v>
      </c>
      <c r="B12" s="12" t="s">
        <v>8</v>
      </c>
      <c r="C12" s="11" t="s">
        <v>9</v>
      </c>
      <c r="D12" s="11" t="s">
        <v>10</v>
      </c>
      <c r="E12" s="11" t="s">
        <v>11</v>
      </c>
      <c r="F12" s="11" t="s">
        <v>12</v>
      </c>
    </row>
    <row r="13" spans="1:6" ht="15" customHeight="1" x14ac:dyDescent="0.25">
      <c r="A13" s="13"/>
      <c r="B13" s="51"/>
      <c r="C13" s="51"/>
      <c r="D13" s="51"/>
      <c r="E13" s="51"/>
      <c r="F13" s="51"/>
    </row>
    <row r="14" spans="1:6" ht="15" customHeight="1" x14ac:dyDescent="0.25">
      <c r="A14" s="18">
        <v>1</v>
      </c>
      <c r="B14" s="10" t="s">
        <v>79</v>
      </c>
      <c r="C14" s="2">
        <v>115</v>
      </c>
      <c r="D14" s="41" t="s">
        <v>81</v>
      </c>
      <c r="E14" s="40">
        <v>2600</v>
      </c>
      <c r="F14" s="40">
        <f>C14*E14</f>
        <v>299000</v>
      </c>
    </row>
    <row r="15" spans="1:6" ht="15" customHeight="1" x14ac:dyDescent="0.25">
      <c r="A15" s="41">
        <v>2</v>
      </c>
      <c r="B15" s="25" t="s">
        <v>80</v>
      </c>
      <c r="C15" s="25">
        <v>200</v>
      </c>
      <c r="D15" s="41" t="s">
        <v>82</v>
      </c>
      <c r="E15" s="40">
        <v>400</v>
      </c>
      <c r="F15" s="40">
        <f>C15*E15</f>
        <v>80000</v>
      </c>
    </row>
    <row r="16" spans="1:6" ht="15" customHeight="1" x14ac:dyDescent="0.25">
      <c r="A16" s="13">
        <v>2</v>
      </c>
      <c r="B16" s="51" t="s">
        <v>84</v>
      </c>
      <c r="C16" s="51"/>
      <c r="D16" s="51"/>
      <c r="E16" s="51"/>
      <c r="F16" s="51"/>
    </row>
    <row r="17" spans="1:6" ht="15" customHeight="1" x14ac:dyDescent="0.25">
      <c r="A17" s="15">
        <v>2.1</v>
      </c>
      <c r="B17" s="16" t="s">
        <v>83</v>
      </c>
    </row>
    <row r="18" spans="1:6" ht="15" customHeight="1" x14ac:dyDescent="0.25">
      <c r="A18" s="28" t="s">
        <v>57</v>
      </c>
      <c r="B18" s="25" t="s">
        <v>98</v>
      </c>
      <c r="C18" s="25"/>
      <c r="D18" s="28" t="s">
        <v>57</v>
      </c>
      <c r="E18" s="49" t="s">
        <v>100</v>
      </c>
      <c r="F18" s="49"/>
    </row>
    <row r="19" spans="1:6" ht="15" customHeight="1" x14ac:dyDescent="0.25">
      <c r="A19" s="28" t="s">
        <v>57</v>
      </c>
      <c r="B19" s="10" t="s">
        <v>99</v>
      </c>
      <c r="D19" s="28"/>
      <c r="E19" s="49"/>
      <c r="F19" s="49"/>
    </row>
    <row r="20" spans="1:6" ht="15" customHeight="1" x14ac:dyDescent="0.25">
      <c r="A20" s="13">
        <v>3</v>
      </c>
      <c r="B20" s="51" t="s">
        <v>46</v>
      </c>
      <c r="C20" s="51"/>
      <c r="D20" s="51"/>
      <c r="E20" s="51"/>
      <c r="F20" s="51"/>
    </row>
    <row r="21" spans="1:6" ht="15" customHeight="1" x14ac:dyDescent="0.25">
      <c r="A21" s="21">
        <v>3.1</v>
      </c>
      <c r="B21" s="10" t="s">
        <v>47</v>
      </c>
      <c r="C21" s="17">
        <v>1</v>
      </c>
      <c r="D21" s="18" t="s">
        <v>48</v>
      </c>
      <c r="E21" s="40">
        <v>75000</v>
      </c>
      <c r="F21" s="40">
        <v>75000</v>
      </c>
    </row>
    <row r="22" spans="1:6" ht="15" customHeight="1" thickBot="1" x14ac:dyDescent="0.3">
      <c r="A22" s="13"/>
      <c r="B22" s="14"/>
      <c r="C22" s="22"/>
      <c r="D22" s="22"/>
      <c r="E22" s="23"/>
      <c r="F22" s="24"/>
    </row>
    <row r="23" spans="1:6" ht="15" customHeight="1" x14ac:dyDescent="0.25">
      <c r="B23" s="54" t="s">
        <v>53</v>
      </c>
      <c r="C23" s="54"/>
      <c r="D23" s="54"/>
      <c r="E23" s="54"/>
      <c r="F23" s="45">
        <f>F14+F15+F21</f>
        <v>454000</v>
      </c>
    </row>
    <row r="24" spans="1:6" ht="15" customHeight="1" thickBot="1" x14ac:dyDescent="0.3">
      <c r="B24" s="54" t="s">
        <v>54</v>
      </c>
      <c r="C24" s="54"/>
      <c r="D24" s="54"/>
      <c r="E24" s="54"/>
      <c r="F24" s="32"/>
    </row>
    <row r="25" spans="1:6" ht="15" customHeight="1" thickBot="1" x14ac:dyDescent="0.3">
      <c r="B25" s="55" t="s">
        <v>55</v>
      </c>
      <c r="C25" s="55"/>
      <c r="D25" s="55"/>
      <c r="E25" s="55"/>
      <c r="F25" s="46">
        <f>F23</f>
        <v>454000</v>
      </c>
    </row>
    <row r="26" spans="1:6" ht="15" customHeight="1" x14ac:dyDescent="0.25">
      <c r="B26" s="27"/>
      <c r="C26" s="27"/>
      <c r="D26" s="27"/>
      <c r="E26" s="27"/>
    </row>
    <row r="27" spans="1:6" ht="15" customHeight="1" x14ac:dyDescent="0.25">
      <c r="B27" s="49" t="s">
        <v>92</v>
      </c>
      <c r="C27" s="49"/>
      <c r="D27" s="49"/>
      <c r="E27" s="49"/>
      <c r="F27" s="49"/>
    </row>
    <row r="28" spans="1:6" ht="15" customHeight="1" x14ac:dyDescent="0.25">
      <c r="B28" s="49"/>
      <c r="C28" s="49"/>
      <c r="D28" s="49"/>
      <c r="E28" s="49"/>
      <c r="F28" s="49"/>
    </row>
    <row r="29" spans="1:6" ht="15" customHeight="1" x14ac:dyDescent="0.25">
      <c r="A29" s="26"/>
      <c r="B29" s="14" t="s">
        <v>56</v>
      </c>
      <c r="C29" s="26"/>
      <c r="D29" s="42"/>
      <c r="E29" s="26"/>
      <c r="F29" s="26"/>
    </row>
    <row r="30" spans="1:6" ht="15" customHeight="1" x14ac:dyDescent="0.25">
      <c r="A30" s="48" t="s">
        <v>57</v>
      </c>
      <c r="B30" s="53" t="s">
        <v>58</v>
      </c>
      <c r="C30" s="53"/>
      <c r="D30" s="53"/>
      <c r="E30" s="53"/>
      <c r="F30" s="53"/>
    </row>
    <row r="31" spans="1:6" ht="15" customHeight="1" x14ac:dyDescent="0.25">
      <c r="A31" s="48" t="s">
        <v>57</v>
      </c>
      <c r="B31" s="53" t="s">
        <v>59</v>
      </c>
      <c r="C31" s="53"/>
      <c r="D31" s="53"/>
      <c r="E31" s="53"/>
      <c r="F31" s="53"/>
    </row>
    <row r="32" spans="1:6" ht="15" customHeight="1" x14ac:dyDescent="0.25">
      <c r="A32" s="48" t="s">
        <v>57</v>
      </c>
      <c r="B32" s="53" t="s">
        <v>60</v>
      </c>
      <c r="C32" s="53"/>
      <c r="D32" s="53"/>
      <c r="E32" s="53"/>
      <c r="F32" s="53"/>
    </row>
    <row r="33" spans="1:6" ht="15" customHeight="1" x14ac:dyDescent="0.25">
      <c r="A33" s="48" t="s">
        <v>57</v>
      </c>
      <c r="B33" s="53" t="s">
        <v>61</v>
      </c>
      <c r="C33" s="53"/>
      <c r="D33" s="53"/>
      <c r="E33" s="53"/>
      <c r="F33" s="53"/>
    </row>
    <row r="34" spans="1:6" ht="15" customHeight="1" x14ac:dyDescent="0.25">
      <c r="A34" s="48" t="s">
        <v>57</v>
      </c>
      <c r="B34" s="53" t="s">
        <v>62</v>
      </c>
      <c r="C34" s="53"/>
      <c r="D34" s="53"/>
      <c r="E34" s="53"/>
      <c r="F34" s="53"/>
    </row>
    <row r="35" spans="1:6" ht="15" customHeight="1" x14ac:dyDescent="0.25">
      <c r="A35" s="48" t="s">
        <v>57</v>
      </c>
      <c r="B35" s="53" t="s">
        <v>63</v>
      </c>
      <c r="C35" s="53"/>
      <c r="D35" s="53"/>
      <c r="E35" s="53"/>
      <c r="F35" s="53"/>
    </row>
    <row r="36" spans="1:6" ht="15" customHeight="1" x14ac:dyDescent="0.25">
      <c r="A36" s="48" t="s">
        <v>57</v>
      </c>
      <c r="B36" s="53" t="s">
        <v>64</v>
      </c>
      <c r="C36" s="53"/>
      <c r="D36" s="53"/>
      <c r="E36" s="53"/>
      <c r="F36" s="53"/>
    </row>
    <row r="37" spans="1:6" ht="15" customHeight="1" x14ac:dyDescent="0.25">
      <c r="A37" s="48" t="s">
        <v>57</v>
      </c>
      <c r="B37" s="53" t="s">
        <v>85</v>
      </c>
      <c r="C37" s="53"/>
      <c r="D37" s="53"/>
      <c r="E37" s="53"/>
      <c r="F37" s="53"/>
    </row>
    <row r="38" spans="1:6" ht="15" customHeight="1" x14ac:dyDescent="0.25">
      <c r="A38" s="48" t="s">
        <v>57</v>
      </c>
      <c r="B38" s="53" t="s">
        <v>86</v>
      </c>
      <c r="C38" s="53"/>
      <c r="D38" s="53"/>
      <c r="E38" s="53"/>
      <c r="F38" s="53"/>
    </row>
    <row r="39" spans="1:6" ht="15" customHeight="1" x14ac:dyDescent="0.25">
      <c r="A39" s="48" t="s">
        <v>57</v>
      </c>
      <c r="B39" s="53" t="s">
        <v>87</v>
      </c>
      <c r="C39" s="53"/>
      <c r="D39" s="53"/>
      <c r="E39" s="53"/>
      <c r="F39" s="53"/>
    </row>
    <row r="40" spans="1:6" ht="15" customHeight="1" x14ac:dyDescent="0.25">
      <c r="A40" s="28"/>
      <c r="B40" s="10"/>
      <c r="C40" s="10"/>
      <c r="D40" s="43"/>
      <c r="E40" s="10"/>
      <c r="F40" s="10"/>
    </row>
    <row r="43" spans="1:6" ht="15" customHeight="1" x14ac:dyDescent="0.25">
      <c r="B43" s="10" t="s">
        <v>66</v>
      </c>
      <c r="E43" s="29" t="s">
        <v>67</v>
      </c>
    </row>
    <row r="44" spans="1:6" ht="15" customHeight="1" x14ac:dyDescent="0.25">
      <c r="B44" s="10" t="s">
        <v>68</v>
      </c>
      <c r="E44" s="29" t="s">
        <v>69</v>
      </c>
    </row>
    <row r="45" spans="1:6" ht="15" customHeight="1" x14ac:dyDescent="0.25">
      <c r="B45" s="10" t="s">
        <v>70</v>
      </c>
      <c r="E45" s="29" t="s">
        <v>71</v>
      </c>
    </row>
    <row r="47" spans="1:6" ht="15" customHeight="1" x14ac:dyDescent="0.25">
      <c r="A47" s="50" t="s">
        <v>76</v>
      </c>
      <c r="B47" s="50"/>
      <c r="C47" s="50"/>
      <c r="D47" s="50"/>
      <c r="E47" s="50"/>
      <c r="F47" s="50"/>
    </row>
    <row r="48" spans="1:6" ht="15" customHeight="1" x14ac:dyDescent="0.25">
      <c r="A48" s="50"/>
      <c r="B48" s="50"/>
      <c r="C48" s="50"/>
      <c r="D48" s="50"/>
      <c r="E48" s="50"/>
      <c r="F48" s="50"/>
    </row>
  </sheetData>
  <mergeCells count="21">
    <mergeCell ref="B38:F38"/>
    <mergeCell ref="B39:F39"/>
    <mergeCell ref="A47:F48"/>
    <mergeCell ref="B32:F32"/>
    <mergeCell ref="B33:F33"/>
    <mergeCell ref="B34:F34"/>
    <mergeCell ref="B35:F35"/>
    <mergeCell ref="B36:F36"/>
    <mergeCell ref="B37:F37"/>
    <mergeCell ref="B23:E23"/>
    <mergeCell ref="B24:E24"/>
    <mergeCell ref="B25:E25"/>
    <mergeCell ref="B27:F28"/>
    <mergeCell ref="B30:F30"/>
    <mergeCell ref="B31:F31"/>
    <mergeCell ref="E7:F7"/>
    <mergeCell ref="B13:F13"/>
    <mergeCell ref="B16:F16"/>
    <mergeCell ref="E18:F18"/>
    <mergeCell ref="E19:F19"/>
    <mergeCell ref="B20:F20"/>
  </mergeCells>
  <pageMargins left="0.51" right="0.44" top="0.96" bottom="0.55000000000000004" header="0.52" footer="0.3"/>
  <pageSetup scale="97" fitToHeight="0" orientation="portrait" horizontalDpi="300" verticalDpi="300" r:id="rId1"/>
  <headerFooter>
    <oddHeader>&amp;L&amp;G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8"/>
  <sheetViews>
    <sheetView view="pageLayout" topLeftCell="A31" zoomScale="154" zoomScaleNormal="100" zoomScalePageLayoutView="154" workbookViewId="0">
      <selection activeCell="C18" sqref="C18"/>
    </sheetView>
  </sheetViews>
  <sheetFormatPr baseColWidth="10" defaultColWidth="8.7109375" defaultRowHeight="15" customHeight="1" x14ac:dyDescent="0.25"/>
  <cols>
    <col min="1" max="1" width="4.85546875" style="2" customWidth="1"/>
    <col min="2" max="2" width="43.5703125" style="2" customWidth="1"/>
    <col min="3" max="3" width="8.7109375" style="2"/>
    <col min="4" max="4" width="7.28515625" style="41" bestFit="1" customWidth="1"/>
    <col min="5" max="5" width="18.42578125" style="2" customWidth="1"/>
    <col min="6" max="6" width="15.85546875" style="2" customWidth="1"/>
    <col min="7" max="7" width="8.85546875" style="2" customWidth="1"/>
    <col min="8" max="16384" width="8.7109375" style="2"/>
  </cols>
  <sheetData>
    <row r="1" spans="1:6" ht="15" customHeight="1" x14ac:dyDescent="0.25">
      <c r="A1" s="28"/>
      <c r="B1" s="25"/>
      <c r="C1" s="25"/>
      <c r="D1" s="43"/>
      <c r="E1" s="25"/>
      <c r="F1" s="25"/>
    </row>
    <row r="2" spans="1:6" ht="15" customHeight="1" x14ac:dyDescent="0.25">
      <c r="A2" s="28"/>
      <c r="B2" s="25"/>
      <c r="C2" s="25"/>
      <c r="D2" s="43"/>
      <c r="E2" s="25"/>
      <c r="F2" s="25"/>
    </row>
    <row r="3" spans="1:6" ht="15" customHeight="1" x14ac:dyDescent="0.25">
      <c r="A3" s="28"/>
      <c r="B3" s="25"/>
      <c r="C3" s="25"/>
      <c r="D3" s="43"/>
      <c r="E3" s="25"/>
      <c r="F3" s="25"/>
    </row>
    <row r="4" spans="1:6" ht="15" customHeight="1" x14ac:dyDescent="0.25">
      <c r="A4" s="28"/>
      <c r="B4" s="25"/>
      <c r="C4" s="25"/>
      <c r="D4" s="43"/>
      <c r="E4" s="25"/>
      <c r="F4" s="25"/>
    </row>
    <row r="5" spans="1:6" ht="15" customHeight="1" x14ac:dyDescent="0.25">
      <c r="A5" s="28"/>
      <c r="B5" s="25"/>
      <c r="C5" s="25"/>
      <c r="D5" s="43"/>
      <c r="E5" s="25"/>
      <c r="F5" s="25"/>
    </row>
    <row r="6" spans="1:6" ht="15" customHeight="1" x14ac:dyDescent="0.25">
      <c r="A6" s="28"/>
      <c r="B6" s="25"/>
      <c r="C6" s="25"/>
      <c r="D6" s="43"/>
      <c r="E6" s="25"/>
      <c r="F6" s="25"/>
    </row>
    <row r="7" spans="1:6" ht="15" customHeight="1" x14ac:dyDescent="0.25">
      <c r="A7" s="33" t="s">
        <v>2</v>
      </c>
      <c r="B7" s="37"/>
      <c r="C7" s="37"/>
      <c r="D7" s="44"/>
      <c r="E7" s="52" t="s">
        <v>3</v>
      </c>
      <c r="F7" s="52"/>
    </row>
    <row r="8" spans="1:6" ht="15" customHeight="1" x14ac:dyDescent="0.25">
      <c r="A8" s="35" t="s">
        <v>77</v>
      </c>
      <c r="B8" s="37"/>
      <c r="C8" s="37"/>
      <c r="D8" s="36"/>
      <c r="E8" s="34" t="s">
        <v>7</v>
      </c>
      <c r="F8" s="38">
        <v>1012</v>
      </c>
    </row>
    <row r="9" spans="1:6" ht="15" customHeight="1" x14ac:dyDescent="0.25">
      <c r="A9" s="37" t="s">
        <v>94</v>
      </c>
      <c r="B9" s="37"/>
      <c r="C9" s="37"/>
      <c r="D9" s="44"/>
      <c r="E9" s="39" t="s">
        <v>73</v>
      </c>
      <c r="F9" s="47">
        <v>46093</v>
      </c>
    </row>
    <row r="10" spans="1:6" ht="15" customHeight="1" x14ac:dyDescent="0.25">
      <c r="A10" s="33" t="s">
        <v>95</v>
      </c>
      <c r="B10" s="37"/>
      <c r="C10" s="37"/>
      <c r="D10" s="44"/>
      <c r="E10" s="39" t="s">
        <v>74</v>
      </c>
      <c r="F10" s="47">
        <v>46095</v>
      </c>
    </row>
    <row r="11" spans="1:6" ht="15" customHeight="1" x14ac:dyDescent="0.25">
      <c r="A11" s="33" t="s">
        <v>96</v>
      </c>
      <c r="B11" s="37"/>
      <c r="C11" s="37"/>
      <c r="D11" s="44"/>
      <c r="E11" s="37"/>
      <c r="F11" s="37"/>
    </row>
    <row r="12" spans="1:6" ht="15" customHeight="1" x14ac:dyDescent="0.25">
      <c r="A12" s="11" t="s">
        <v>7</v>
      </c>
      <c r="B12" s="12" t="s">
        <v>8</v>
      </c>
      <c r="C12" s="11" t="s">
        <v>9</v>
      </c>
      <c r="D12" s="11" t="s">
        <v>10</v>
      </c>
      <c r="E12" s="11" t="s">
        <v>11</v>
      </c>
      <c r="F12" s="11" t="s">
        <v>12</v>
      </c>
    </row>
    <row r="13" spans="1:6" ht="15" customHeight="1" x14ac:dyDescent="0.25">
      <c r="A13" s="13"/>
      <c r="B13" s="51"/>
      <c r="C13" s="51"/>
      <c r="D13" s="51"/>
      <c r="E13" s="51"/>
      <c r="F13" s="51"/>
    </row>
    <row r="14" spans="1:6" ht="15" customHeight="1" x14ac:dyDescent="0.25">
      <c r="A14" s="18">
        <v>1</v>
      </c>
      <c r="B14" s="10" t="s">
        <v>97</v>
      </c>
      <c r="C14" s="2">
        <v>24</v>
      </c>
      <c r="D14" s="41" t="s">
        <v>81</v>
      </c>
      <c r="E14" s="40">
        <v>2600</v>
      </c>
      <c r="F14" s="40">
        <f>C14*E14</f>
        <v>62400</v>
      </c>
    </row>
    <row r="15" spans="1:6" ht="15" customHeight="1" x14ac:dyDescent="0.25">
      <c r="A15" s="41">
        <v>2</v>
      </c>
      <c r="B15" s="25" t="s">
        <v>80</v>
      </c>
      <c r="C15" s="25">
        <v>200</v>
      </c>
      <c r="D15" s="41" t="s">
        <v>82</v>
      </c>
      <c r="E15" s="40">
        <v>400</v>
      </c>
      <c r="F15" s="40">
        <f>C15*E15</f>
        <v>80000</v>
      </c>
    </row>
    <row r="16" spans="1:6" ht="15" customHeight="1" x14ac:dyDescent="0.25">
      <c r="A16" s="13">
        <v>2</v>
      </c>
      <c r="B16" s="51" t="s">
        <v>84</v>
      </c>
      <c r="C16" s="51"/>
      <c r="D16" s="51"/>
      <c r="E16" s="51"/>
      <c r="F16" s="51"/>
    </row>
    <row r="17" spans="1:6" ht="15" customHeight="1" x14ac:dyDescent="0.25">
      <c r="A17" s="15">
        <v>2.1</v>
      </c>
      <c r="B17" s="16" t="s">
        <v>83</v>
      </c>
    </row>
    <row r="18" spans="1:6" ht="15" customHeight="1" x14ac:dyDescent="0.25">
      <c r="A18" s="28" t="s">
        <v>57</v>
      </c>
      <c r="B18" s="25" t="s">
        <v>88</v>
      </c>
      <c r="C18" s="25"/>
      <c r="D18" s="28" t="s">
        <v>57</v>
      </c>
      <c r="E18" s="49" t="s">
        <v>90</v>
      </c>
      <c r="F18" s="49"/>
    </row>
    <row r="19" spans="1:6" ht="15" customHeight="1" x14ac:dyDescent="0.25">
      <c r="A19" s="28" t="s">
        <v>57</v>
      </c>
      <c r="B19" s="10" t="s">
        <v>89</v>
      </c>
      <c r="D19" s="28" t="s">
        <v>57</v>
      </c>
      <c r="E19" s="49" t="s">
        <v>91</v>
      </c>
      <c r="F19" s="49"/>
    </row>
    <row r="20" spans="1:6" ht="15" customHeight="1" x14ac:dyDescent="0.25">
      <c r="A20" s="13">
        <v>3</v>
      </c>
      <c r="B20" s="51" t="s">
        <v>46</v>
      </c>
      <c r="C20" s="51"/>
      <c r="D20" s="51"/>
      <c r="E20" s="51"/>
      <c r="F20" s="51"/>
    </row>
    <row r="21" spans="1:6" ht="15" customHeight="1" x14ac:dyDescent="0.25">
      <c r="A21" s="21">
        <v>3.1</v>
      </c>
      <c r="B21" s="10" t="s">
        <v>47</v>
      </c>
      <c r="C21" s="17">
        <v>1</v>
      </c>
      <c r="D21" s="18" t="s">
        <v>48</v>
      </c>
      <c r="E21" s="40">
        <v>75000</v>
      </c>
      <c r="F21" s="40">
        <v>75000</v>
      </c>
    </row>
    <row r="22" spans="1:6" ht="15" customHeight="1" thickBot="1" x14ac:dyDescent="0.3">
      <c r="A22" s="13"/>
      <c r="B22" s="14"/>
      <c r="C22" s="22"/>
      <c r="D22" s="22"/>
      <c r="E22" s="23"/>
      <c r="F22" s="24"/>
    </row>
    <row r="23" spans="1:6" ht="15" customHeight="1" x14ac:dyDescent="0.25">
      <c r="B23" s="54" t="s">
        <v>53</v>
      </c>
      <c r="C23" s="54"/>
      <c r="D23" s="54"/>
      <c r="E23" s="54"/>
      <c r="F23" s="45">
        <f>F14+F15+F21</f>
        <v>217400</v>
      </c>
    </row>
    <row r="24" spans="1:6" ht="15" customHeight="1" thickBot="1" x14ac:dyDescent="0.3">
      <c r="B24" s="54" t="s">
        <v>54</v>
      </c>
      <c r="C24" s="54"/>
      <c r="D24" s="54"/>
      <c r="E24" s="54"/>
      <c r="F24" s="32"/>
    </row>
    <row r="25" spans="1:6" ht="15" customHeight="1" thickBot="1" x14ac:dyDescent="0.3">
      <c r="B25" s="55" t="s">
        <v>55</v>
      </c>
      <c r="C25" s="55"/>
      <c r="D25" s="55"/>
      <c r="E25" s="55"/>
      <c r="F25" s="46">
        <f>F23</f>
        <v>217400</v>
      </c>
    </row>
    <row r="26" spans="1:6" ht="15" customHeight="1" x14ac:dyDescent="0.25">
      <c r="B26" s="27"/>
      <c r="C26" s="27"/>
      <c r="D26" s="27"/>
      <c r="E26" s="27"/>
    </row>
    <row r="27" spans="1:6" ht="15" customHeight="1" x14ac:dyDescent="0.25">
      <c r="B27" s="49" t="s">
        <v>92</v>
      </c>
      <c r="C27" s="49"/>
      <c r="D27" s="49"/>
      <c r="E27" s="49"/>
      <c r="F27" s="49"/>
    </row>
    <row r="28" spans="1:6" ht="15" customHeight="1" x14ac:dyDescent="0.25">
      <c r="B28" s="49"/>
      <c r="C28" s="49"/>
      <c r="D28" s="49"/>
      <c r="E28" s="49"/>
      <c r="F28" s="49"/>
    </row>
    <row r="29" spans="1:6" ht="15" customHeight="1" x14ac:dyDescent="0.25">
      <c r="A29" s="26"/>
      <c r="B29" s="14" t="s">
        <v>56</v>
      </c>
      <c r="C29" s="26"/>
      <c r="D29" s="42"/>
      <c r="E29" s="26"/>
      <c r="F29" s="26"/>
    </row>
    <row r="30" spans="1:6" ht="15" customHeight="1" x14ac:dyDescent="0.25">
      <c r="A30" s="48" t="s">
        <v>57</v>
      </c>
      <c r="B30" s="53" t="s">
        <v>58</v>
      </c>
      <c r="C30" s="53"/>
      <c r="D30" s="53"/>
      <c r="E30" s="53"/>
      <c r="F30" s="53"/>
    </row>
    <row r="31" spans="1:6" ht="15" customHeight="1" x14ac:dyDescent="0.25">
      <c r="A31" s="48" t="s">
        <v>57</v>
      </c>
      <c r="B31" s="53" t="s">
        <v>59</v>
      </c>
      <c r="C31" s="53"/>
      <c r="D31" s="53"/>
      <c r="E31" s="53"/>
      <c r="F31" s="53"/>
    </row>
    <row r="32" spans="1:6" ht="15" customHeight="1" x14ac:dyDescent="0.25">
      <c r="A32" s="48" t="s">
        <v>57</v>
      </c>
      <c r="B32" s="53" t="s">
        <v>60</v>
      </c>
      <c r="C32" s="53"/>
      <c r="D32" s="53"/>
      <c r="E32" s="53"/>
      <c r="F32" s="53"/>
    </row>
    <row r="33" spans="1:6" ht="15" customHeight="1" x14ac:dyDescent="0.25">
      <c r="A33" s="48" t="s">
        <v>57</v>
      </c>
      <c r="B33" s="53" t="s">
        <v>61</v>
      </c>
      <c r="C33" s="53"/>
      <c r="D33" s="53"/>
      <c r="E33" s="53"/>
      <c r="F33" s="53"/>
    </row>
    <row r="34" spans="1:6" ht="15" customHeight="1" x14ac:dyDescent="0.25">
      <c r="A34" s="48" t="s">
        <v>57</v>
      </c>
      <c r="B34" s="53" t="s">
        <v>62</v>
      </c>
      <c r="C34" s="53"/>
      <c r="D34" s="53"/>
      <c r="E34" s="53"/>
      <c r="F34" s="53"/>
    </row>
    <row r="35" spans="1:6" ht="15" customHeight="1" x14ac:dyDescent="0.25">
      <c r="A35" s="48" t="s">
        <v>57</v>
      </c>
      <c r="B35" s="53" t="s">
        <v>63</v>
      </c>
      <c r="C35" s="53"/>
      <c r="D35" s="53"/>
      <c r="E35" s="53"/>
      <c r="F35" s="53"/>
    </row>
    <row r="36" spans="1:6" ht="15" customHeight="1" x14ac:dyDescent="0.25">
      <c r="A36" s="48" t="s">
        <v>57</v>
      </c>
      <c r="B36" s="53" t="s">
        <v>64</v>
      </c>
      <c r="C36" s="53"/>
      <c r="D36" s="53"/>
      <c r="E36" s="53"/>
      <c r="F36" s="53"/>
    </row>
    <row r="37" spans="1:6" ht="15" customHeight="1" x14ac:dyDescent="0.25">
      <c r="A37" s="48" t="s">
        <v>57</v>
      </c>
      <c r="B37" s="53" t="s">
        <v>85</v>
      </c>
      <c r="C37" s="53"/>
      <c r="D37" s="53"/>
      <c r="E37" s="53"/>
      <c r="F37" s="53"/>
    </row>
    <row r="38" spans="1:6" ht="15" customHeight="1" x14ac:dyDescent="0.25">
      <c r="A38" s="48" t="s">
        <v>57</v>
      </c>
      <c r="B38" s="53" t="s">
        <v>86</v>
      </c>
      <c r="C38" s="53"/>
      <c r="D38" s="53"/>
      <c r="E38" s="53"/>
      <c r="F38" s="53"/>
    </row>
    <row r="39" spans="1:6" ht="15" customHeight="1" x14ac:dyDescent="0.25">
      <c r="A39" s="48" t="s">
        <v>57</v>
      </c>
      <c r="B39" s="53" t="s">
        <v>87</v>
      </c>
      <c r="C39" s="53"/>
      <c r="D39" s="53"/>
      <c r="E39" s="53"/>
      <c r="F39" s="53"/>
    </row>
    <row r="40" spans="1:6" ht="15" customHeight="1" x14ac:dyDescent="0.25">
      <c r="A40" s="28"/>
      <c r="B40" s="10"/>
      <c r="C40" s="10"/>
      <c r="D40" s="43"/>
      <c r="E40" s="10"/>
      <c r="F40" s="10"/>
    </row>
    <row r="43" spans="1:6" ht="15" customHeight="1" x14ac:dyDescent="0.25">
      <c r="B43" s="10" t="s">
        <v>66</v>
      </c>
      <c r="E43" s="29" t="s">
        <v>67</v>
      </c>
    </row>
    <row r="44" spans="1:6" ht="15" customHeight="1" x14ac:dyDescent="0.25">
      <c r="B44" s="10" t="s">
        <v>68</v>
      </c>
      <c r="E44" s="29" t="s">
        <v>69</v>
      </c>
    </row>
    <row r="45" spans="1:6" ht="15" customHeight="1" x14ac:dyDescent="0.25">
      <c r="B45" s="10" t="s">
        <v>70</v>
      </c>
      <c r="E45" s="29" t="s">
        <v>71</v>
      </c>
    </row>
    <row r="47" spans="1:6" ht="15" customHeight="1" x14ac:dyDescent="0.25">
      <c r="A47" s="50" t="s">
        <v>76</v>
      </c>
      <c r="B47" s="50"/>
      <c r="C47" s="50"/>
      <c r="D47" s="50"/>
      <c r="E47" s="50"/>
      <c r="F47" s="50"/>
    </row>
    <row r="48" spans="1:6" ht="15" customHeight="1" x14ac:dyDescent="0.25">
      <c r="A48" s="50"/>
      <c r="B48" s="50"/>
      <c r="C48" s="50"/>
      <c r="D48" s="50"/>
      <c r="E48" s="50"/>
      <c r="F48" s="50"/>
    </row>
  </sheetData>
  <mergeCells count="21">
    <mergeCell ref="B34:F34"/>
    <mergeCell ref="B20:F20"/>
    <mergeCell ref="B23:E23"/>
    <mergeCell ref="B24:E24"/>
    <mergeCell ref="B25:E25"/>
    <mergeCell ref="B27:F28"/>
    <mergeCell ref="A47:F48"/>
    <mergeCell ref="B16:F16"/>
    <mergeCell ref="E7:F7"/>
    <mergeCell ref="B13:F13"/>
    <mergeCell ref="E19:F19"/>
    <mergeCell ref="E18:F18"/>
    <mergeCell ref="B35:F35"/>
    <mergeCell ref="B36:F36"/>
    <mergeCell ref="B37:F37"/>
    <mergeCell ref="B38:F38"/>
    <mergeCell ref="B39:F39"/>
    <mergeCell ref="B30:F30"/>
    <mergeCell ref="B31:F31"/>
    <mergeCell ref="B32:F32"/>
    <mergeCell ref="B33:F33"/>
  </mergeCells>
  <phoneticPr fontId="8" type="noConversion"/>
  <pageMargins left="0.51" right="0.44" top="0.96" bottom="0.55000000000000004" header="0.52" footer="0.3"/>
  <pageSetup scale="97" fitToHeight="0" orientation="portrait" horizontalDpi="300" verticalDpi="300" r:id="rId1"/>
  <headerFooter>
    <oddHeader>&amp;L&amp;G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PRESUPUESTO_AREPARTIR_No1011(B)</vt:lpstr>
      <vt:lpstr>PRESUPUESTO_AREPARTIR_No101 (2)</vt:lpstr>
      <vt:lpstr>PRESUPUESTO_AREPARTIR_No1012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Pablo H. Pereira Magnere</cp:lastModifiedBy>
  <cp:revision>0</cp:revision>
  <cp:lastPrinted>2026-03-12T16:07:12Z</cp:lastPrinted>
  <dcterms:created xsi:type="dcterms:W3CDTF">2026-03-03T03:27:11Z</dcterms:created>
  <dcterms:modified xsi:type="dcterms:W3CDTF">2026-03-12T16:07:52Z</dcterms:modified>
  <dc:language>en-US</dc:language>
</cp:coreProperties>
</file>