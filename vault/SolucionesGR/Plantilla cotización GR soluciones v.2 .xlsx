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pere\Dropbox\04.- PROPUESTAS\"/>
    </mc:Choice>
  </mc:AlternateContent>
  <xr:revisionPtr revIDLastSave="0" documentId="8_{D80BC492-F465-4DA2-9C73-06A650D4F3A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till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31yCk6LfDSenLNec3cIuGbty8YQ=="/>
    </ext>
  </extLst>
</workbook>
</file>

<file path=xl/calcChain.xml><?xml version="1.0" encoding="utf-8"?>
<calcChain xmlns="http://schemas.openxmlformats.org/spreadsheetml/2006/main">
  <c r="G20" i="5" l="1"/>
  <c r="G19" i="5"/>
  <c r="G21" i="5"/>
  <c r="G18" i="5"/>
  <c r="G22" i="5" l="1"/>
  <c r="G23" i="5" s="1"/>
  <c r="G24" i="5" l="1"/>
</calcChain>
</file>

<file path=xl/sharedStrings.xml><?xml version="1.0" encoding="utf-8"?>
<sst xmlns="http://schemas.openxmlformats.org/spreadsheetml/2006/main" count="38" uniqueCount="37">
  <si>
    <t>Fecha de vencimiento:</t>
  </si>
  <si>
    <t>Descripción</t>
  </si>
  <si>
    <t>Unidades</t>
  </si>
  <si>
    <t>Precio Unitario</t>
  </si>
  <si>
    <t>SUBTOTAL:</t>
  </si>
  <si>
    <t>TOTAL</t>
  </si>
  <si>
    <t>COTIZACION</t>
  </si>
  <si>
    <t>IVA 13%:</t>
  </si>
  <si>
    <t xml:space="preserve">Número de control: </t>
  </si>
  <si>
    <t>Fecha :</t>
  </si>
  <si>
    <t>GR SOLUCIONES ACCO SRL</t>
  </si>
  <si>
    <t>Descripción trabajo:</t>
  </si>
  <si>
    <t>Dirección: 300 mtrs sur de plaza San Josecito</t>
  </si>
  <si>
    <t>Alajuelita , San José</t>
  </si>
  <si>
    <t>email: grsolucionesaccofacturas@gmail.com</t>
  </si>
  <si>
    <t>C.J. 3-102-894536 Cel.+506 6449-8203</t>
  </si>
  <si>
    <t>15 DIAS</t>
  </si>
  <si>
    <t>ARQ PABLO PEREIRA</t>
  </si>
  <si>
    <t>Email: ppreiram@gmail.com</t>
  </si>
  <si>
    <t>No.</t>
  </si>
  <si>
    <t xml:space="preserve">                                           Precio Total</t>
  </si>
  <si>
    <t xml:space="preserve">Dirección:   CONDOMINIO VISTA AL VALLE, ALTO LAS PALOMAS SANTA ANA 
</t>
  </si>
  <si>
    <t>Reparación de filtraciones en techo de la torre A</t>
  </si>
  <si>
    <t>28/01/2025</t>
  </si>
  <si>
    <t>1845</t>
  </si>
  <si>
    <t>Cantidad</t>
  </si>
  <si>
    <t>Condiciones especiales</t>
  </si>
  <si>
    <r>
      <t xml:space="preserve">Cliente: GR SOLUCIONES ACCO SRL C.J. 3-102-894536
Número de cuenta BAC: </t>
    </r>
    <r>
      <rPr>
        <b/>
        <sz val="10"/>
        <color theme="0" tint="-0.499984740745262"/>
        <rFont val="Aptos Narrow"/>
        <family val="2"/>
      </rPr>
      <t>₡</t>
    </r>
    <r>
      <rPr>
        <b/>
        <sz val="10"/>
        <color theme="0" tint="-0.499984740745262"/>
        <rFont val="Calibri"/>
        <family val="2"/>
      </rPr>
      <t xml:space="preserve"> 959887936 Número de cuenta BAC $959887936| Sinpe Móvil 6449-8203
Número de cuenta IBAN </t>
    </r>
    <r>
      <rPr>
        <b/>
        <sz val="10"/>
        <color theme="0" tint="-0.499984740745262"/>
        <rFont val="Aptos Narrow"/>
        <family val="2"/>
      </rPr>
      <t>₡</t>
    </r>
    <r>
      <rPr>
        <b/>
        <sz val="10"/>
        <color theme="0" tint="-0.499984740745262"/>
        <rFont val="Calibri"/>
        <family val="2"/>
      </rPr>
      <t>: CR06010200009598879369 Número de cuenta IBAN $:CR06010200009598879369
Correo: grsolucionesaccofacturas@gmail.com</t>
    </r>
  </si>
  <si>
    <t>Contacto: +(506) 8375-5404</t>
  </si>
  <si>
    <t>Desinstalación de teja española, buscar y reparar fisuras, reinstalación de teja y reparación de daños en el apartamento</t>
  </si>
  <si>
    <t>GLB</t>
  </si>
  <si>
    <t>Materiales a usarse: 300 tejas de arcilla similar a la existente, 10 duretan, 1 pintura goltex, pasta, lijas y otros materiales menores</t>
  </si>
  <si>
    <t>Día</t>
  </si>
  <si>
    <t>Suministro de 6 cuerpos de andamios por 10 días</t>
  </si>
  <si>
    <t>mes</t>
  </si>
  <si>
    <t>Póliza del INS de riesgo del trabajo</t>
  </si>
  <si>
    <t>Duración de la obra: 10 días. Se aplicará pintura Goltex o latex 3000 de SUR incluye reparación fisuras y filtraciones
1.- Del presente procedimiento de contratación no deriva ninguna relación laboral entre nuestra empresa y la Administración del Condominio
2. Todos los trabajos efectuados tendrán garantía de acuerdo a lo que la Cámara de la Construcción de Costa Rica estipula.
3.- La obra se construirá con materiales y acabados de primera calidad.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</si>
</sst>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_-[$₡-140A]* #,##0.00_-;\-[$₡-140A]* #,##0.00_-;_-[$₡-140A]* &quot;-&quot;??_-;_-@_-"/>
  </numFmts>
  <fonts count="25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rgb="FF666666"/>
      <name val="Calibri"/>
    </font>
    <font>
      <sz val="10"/>
      <color theme="1"/>
      <name val="Calibri"/>
    </font>
    <font>
      <b/>
      <i/>
      <sz val="10"/>
      <color rgb="FF000000"/>
      <name val="Calibri"/>
    </font>
    <font>
      <i/>
      <sz val="10"/>
      <color rgb="FF000000"/>
      <name val="Calibri"/>
    </font>
    <font>
      <sz val="29"/>
      <color rgb="FF4E535C"/>
      <name val="Calibri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i/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4E535C"/>
      <name val="Calibri"/>
      <family val="2"/>
    </font>
    <font>
      <sz val="8"/>
      <name val="Arial"/>
      <scheme val="minor"/>
    </font>
    <font>
      <sz val="10"/>
      <name val="Calibri"/>
      <family val="2"/>
    </font>
    <font>
      <b/>
      <sz val="10"/>
      <color theme="0" tint="-0.499984740745262"/>
      <name val="Calibri"/>
      <family val="2"/>
    </font>
    <font>
      <b/>
      <sz val="10"/>
      <color theme="0" tint="-0.499984740745262"/>
      <name val="Aptos Narrow"/>
      <family val="2"/>
    </font>
    <font>
      <b/>
      <sz val="18"/>
      <color theme="4" tint="-0.249977111117893"/>
      <name val="Calibri"/>
      <family val="2"/>
    </font>
    <font>
      <b/>
      <sz val="10"/>
      <color theme="4" tint="-0.249977111117893"/>
      <name val="Calibri"/>
      <family val="2"/>
    </font>
    <font>
      <sz val="10"/>
      <color theme="4" tint="-0.249977111117893"/>
      <name val="Arial"/>
      <family val="2"/>
    </font>
    <font>
      <sz val="10"/>
      <color theme="4" tint="-0.249977111117893"/>
      <name val="Calibri"/>
      <family val="2"/>
    </font>
    <font>
      <sz val="10"/>
      <color theme="4" tint="-0.24997711111789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rgb="FFC9DAF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FE2F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rgb="FF4472C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ck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2">
    <xf numFmtId="0" fontId="0" fillId="0" borderId="0"/>
    <xf numFmtId="0" fontId="1" fillId="0" borderId="1"/>
  </cellStyleXfs>
  <cellXfs count="6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9" fontId="11" fillId="0" borderId="2" xfId="0" applyNumberFormat="1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0" xfId="0" applyFont="1"/>
    <xf numFmtId="2" fontId="7" fillId="0" borderId="0" xfId="0" applyNumberFormat="1" applyFont="1" applyAlignment="1">
      <alignment vertical="center"/>
    </xf>
    <xf numFmtId="2" fontId="12" fillId="0" borderId="0" xfId="0" applyNumberFormat="1" applyFont="1"/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2" borderId="1" xfId="0" applyFont="1" applyFill="1" applyBorder="1" applyAlignment="1">
      <alignment vertical="center"/>
    </xf>
    <xf numFmtId="165" fontId="7" fillId="0" borderId="5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1" fillId="0" borderId="7" xfId="0" applyFont="1" applyBorder="1" applyAlignment="1">
      <alignment vertical="center" wrapText="1"/>
    </xf>
    <xf numFmtId="0" fontId="8" fillId="0" borderId="0" xfId="0" applyFont="1" applyAlignment="1">
      <alignment vertical="top"/>
    </xf>
    <xf numFmtId="0" fontId="11" fillId="0" borderId="5" xfId="0" applyFont="1" applyBorder="1" applyAlignment="1">
      <alignment vertical="top"/>
    </xf>
    <xf numFmtId="0" fontId="8" fillId="5" borderId="6" xfId="0" applyFont="1" applyFill="1" applyBorder="1" applyAlignment="1">
      <alignment vertical="center" wrapText="1"/>
    </xf>
    <xf numFmtId="1" fontId="7" fillId="5" borderId="6" xfId="0" applyNumberFormat="1" applyFont="1" applyFill="1" applyBorder="1" applyAlignment="1">
      <alignment horizontal="center" vertical="center"/>
    </xf>
    <xf numFmtId="165" fontId="7" fillId="5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5" fontId="7" fillId="0" borderId="10" xfId="0" applyNumberFormat="1" applyFont="1" applyBorder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8" xfId="0" applyBorder="1"/>
    <xf numFmtId="0" fontId="21" fillId="0" borderId="8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2" fillId="0" borderId="8" xfId="0" applyFont="1" applyBorder="1" applyAlignment="1">
      <alignment horizontal="left"/>
    </xf>
    <xf numFmtId="0" fontId="21" fillId="0" borderId="3" xfId="0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right" vertical="center"/>
    </xf>
    <xf numFmtId="2" fontId="23" fillId="2" borderId="1" xfId="0" applyNumberFormat="1" applyFont="1" applyFill="1" applyBorder="1" applyAlignment="1">
      <alignment vertical="center"/>
    </xf>
    <xf numFmtId="2" fontId="23" fillId="2" borderId="1" xfId="0" applyNumberFormat="1" applyFont="1" applyFill="1" applyBorder="1" applyAlignment="1">
      <alignment horizontal="center" vertical="center"/>
    </xf>
    <xf numFmtId="2" fontId="23" fillId="2" borderId="1" xfId="0" applyNumberFormat="1" applyFont="1" applyFill="1" applyBorder="1" applyAlignment="1">
      <alignment horizontal="left" vertical="center"/>
    </xf>
    <xf numFmtId="164" fontId="21" fillId="2" borderId="1" xfId="0" applyNumberFormat="1" applyFont="1" applyFill="1" applyBorder="1" applyAlignment="1">
      <alignment horizontal="right" vertic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1" xfId="0" applyFont="1" applyBorder="1"/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right" vertical="center"/>
    </xf>
    <xf numFmtId="2" fontId="23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8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2" fillId="0" borderId="0" xfId="0" applyFont="1"/>
    <xf numFmtId="0" fontId="11" fillId="0" borderId="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7" fillId="4" borderId="9" xfId="0" applyFont="1" applyFill="1" applyBorder="1" applyAlignment="1">
      <alignment horizontal="left" vertical="center" wrapText="1"/>
    </xf>
    <xf numFmtId="0" fontId="17" fillId="4" borderId="9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2000000}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 defaultTableStyle="TableStyleMedium2" defaultPivotStyle="PivotStyleLight16">
    <tableStyle name="Plantilla Factura Gratis-style" pivot="0" count="2" xr9:uid="{00000000-0011-0000-FFFF-FFFF00000000}">
      <tableStyleElement type="firstRowStripe" dxfId="1"/>
      <tableStyleElement type="secondRowStripe" dxfId="0"/>
    </tableStyle>
  </tableStyles>
  <colors>
    <mruColors>
      <color rgb="FF83D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739888</xdr:colOff>
      <xdr:row>0</xdr:row>
      <xdr:rowOff>144575</xdr:rowOff>
    </xdr:from>
    <xdr:to>
      <xdr:col>6</xdr:col>
      <xdr:colOff>1131435</xdr:colOff>
      <xdr:row>7</xdr:row>
      <xdr:rowOff>350704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1CF39-D74F-5A26-0A2E-85ADD2746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4062" y="144575"/>
          <a:ext cx="1471614" cy="1413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A975"/>
  <sheetViews>
    <sheetView showGridLines="0" tabSelected="1" topLeftCell="A11" zoomScale="112" zoomScaleNormal="112" workbookViewId="0">
      <selection activeCell="B1" sqref="B1:G27"/>
    </sheetView>
  </sheetViews>
  <sheetFormatPr defaultColWidth="14.42578125" defaultRowHeight="12.75" x14ac:dyDescent="0.2"/>
  <cols>
    <col min="2" max="2" width="3.7109375" bestFit="1" customWidth="1"/>
    <col min="3" max="3" width="41.28515625" customWidth="1"/>
    <col min="4" max="4" width="7.140625" style="29" customWidth="1"/>
    <col min="5" max="5" width="9.85546875" bestFit="1" customWidth="1"/>
    <col min="6" max="6" width="16.140625" customWidth="1"/>
    <col min="7" max="7" width="17.5703125" customWidth="1"/>
  </cols>
  <sheetData>
    <row r="1" spans="2:27" ht="11.25" customHeight="1" x14ac:dyDescent="0.2">
      <c r="B1" s="1"/>
      <c r="C1" s="1"/>
      <c r="D1" s="28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27" ht="23.25" customHeight="1" x14ac:dyDescent="0.2">
      <c r="B2" s="57" t="s">
        <v>6</v>
      </c>
      <c r="C2" s="57"/>
      <c r="E2" s="1"/>
      <c r="F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 ht="12" customHeight="1" x14ac:dyDescent="0.2">
      <c r="B3" s="1"/>
      <c r="C3" s="1"/>
      <c r="D3" s="28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12" customHeight="1" thickBot="1" x14ac:dyDescent="0.25">
      <c r="B4" s="8" t="s">
        <v>9</v>
      </c>
      <c r="E4" s="7" t="s">
        <v>23</v>
      </c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2" customHeight="1" thickBot="1" x14ac:dyDescent="0.25">
      <c r="B5" s="8" t="s">
        <v>8</v>
      </c>
      <c r="E5" s="9" t="s">
        <v>24</v>
      </c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2" customHeight="1" x14ac:dyDescent="0.2">
      <c r="B6" s="3" t="s">
        <v>0</v>
      </c>
      <c r="E6" s="7" t="s">
        <v>16</v>
      </c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2" customHeight="1" x14ac:dyDescent="0.2">
      <c r="B7" s="1"/>
      <c r="C7" s="1"/>
      <c r="D7" s="28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29.25" customHeight="1" x14ac:dyDescent="0.2">
      <c r="B8" s="37" t="s">
        <v>10</v>
      </c>
      <c r="C8" s="37"/>
      <c r="D8" s="38"/>
      <c r="E8" s="39" t="s">
        <v>17</v>
      </c>
      <c r="F8" s="40"/>
      <c r="G8" s="3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x14ac:dyDescent="0.2">
      <c r="B9" s="4"/>
      <c r="C9" s="14"/>
      <c r="D9" s="32"/>
      <c r="E9" s="15"/>
      <c r="F9" s="16"/>
      <c r="G9" s="1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33.75" customHeight="1" x14ac:dyDescent="0.2">
      <c r="B10" s="31" t="s">
        <v>12</v>
      </c>
      <c r="E10" s="15"/>
      <c r="F10" s="60" t="s">
        <v>21</v>
      </c>
      <c r="G10" s="6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x14ac:dyDescent="0.2">
      <c r="B11" s="23" t="s">
        <v>15</v>
      </c>
      <c r="E11" s="17"/>
      <c r="F11" s="23" t="s">
        <v>11</v>
      </c>
      <c r="G11" s="22"/>
      <c r="H11" s="2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x14ac:dyDescent="0.2">
      <c r="B12" s="21"/>
      <c r="E12" s="15"/>
      <c r="F12" s="62" t="s">
        <v>22</v>
      </c>
      <c r="G12" s="6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5" customHeight="1" x14ac:dyDescent="0.2">
      <c r="B13" s="24" t="s">
        <v>13</v>
      </c>
      <c r="E13" s="17"/>
      <c r="F13" s="10" t="s">
        <v>28</v>
      </c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5" customHeight="1" x14ac:dyDescent="0.2">
      <c r="B14" s="24" t="s">
        <v>14</v>
      </c>
      <c r="E14" s="15"/>
      <c r="F14" s="10" t="s">
        <v>18</v>
      </c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5.75" customHeight="1" x14ac:dyDescent="0.2">
      <c r="B15" s="5"/>
      <c r="C15" s="18"/>
      <c r="D15" s="33"/>
      <c r="E15" s="19"/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21.75" customHeight="1" x14ac:dyDescent="0.2">
      <c r="B16" s="41" t="s">
        <v>19</v>
      </c>
      <c r="C16" s="41" t="s">
        <v>1</v>
      </c>
      <c r="D16" s="42" t="s">
        <v>25</v>
      </c>
      <c r="E16" s="42" t="s">
        <v>2</v>
      </c>
      <c r="F16" s="43" t="s">
        <v>3</v>
      </c>
      <c r="G16" s="43" t="s">
        <v>20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6" customHeight="1" x14ac:dyDescent="0.2">
      <c r="B17" s="5"/>
      <c r="C17" s="58"/>
      <c r="D17" s="58"/>
      <c r="E17" s="59"/>
      <c r="F17" s="59"/>
      <c r="G17" s="5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39" thickBot="1" x14ac:dyDescent="0.25">
      <c r="B18" s="25">
        <v>1</v>
      </c>
      <c r="C18" s="25" t="s">
        <v>29</v>
      </c>
      <c r="D18" s="34">
        <v>1</v>
      </c>
      <c r="E18" s="26" t="s">
        <v>30</v>
      </c>
      <c r="F18" s="27">
        <v>3000000</v>
      </c>
      <c r="G18" s="27">
        <f>D18*F18</f>
        <v>3000000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39.75" thickTop="1" thickBot="1" x14ac:dyDescent="0.25">
      <c r="B19" s="25">
        <v>2</v>
      </c>
      <c r="C19" s="25" t="s">
        <v>31</v>
      </c>
      <c r="D19" s="34">
        <v>1</v>
      </c>
      <c r="E19" s="26" t="s">
        <v>30</v>
      </c>
      <c r="F19" s="27">
        <v>400000</v>
      </c>
      <c r="G19" s="27">
        <f t="shared" ref="G19:G21" si="0">D19*F19</f>
        <v>400000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4.25" thickTop="1" thickBot="1" x14ac:dyDescent="0.25">
      <c r="B20" s="25">
        <v>3</v>
      </c>
      <c r="C20" s="25" t="s">
        <v>33</v>
      </c>
      <c r="D20" s="34">
        <v>10</v>
      </c>
      <c r="E20" s="26" t="s">
        <v>32</v>
      </c>
      <c r="F20" s="27">
        <v>14000</v>
      </c>
      <c r="G20" s="27">
        <f t="shared" ref="G20" si="1">D20*F20</f>
        <v>140000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4.25" thickTop="1" thickBot="1" x14ac:dyDescent="0.25">
      <c r="B21" s="25">
        <v>4</v>
      </c>
      <c r="C21" s="25" t="s">
        <v>35</v>
      </c>
      <c r="D21" s="34">
        <v>1</v>
      </c>
      <c r="E21" s="26" t="s">
        <v>34</v>
      </c>
      <c r="F21" s="27">
        <v>150000</v>
      </c>
      <c r="G21" s="27">
        <f t="shared" si="0"/>
        <v>150000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s="13" customFormat="1" ht="13.5" thickTop="1" x14ac:dyDescent="0.2">
      <c r="B22" s="53"/>
      <c r="C22" s="44"/>
      <c r="D22" s="45"/>
      <c r="E22" s="46"/>
      <c r="F22" s="47" t="s">
        <v>4</v>
      </c>
      <c r="G22" s="20">
        <f>SUM(G18:G21)</f>
        <v>3690000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2:27" ht="17.25" customHeight="1" x14ac:dyDescent="0.2">
      <c r="B23" s="54"/>
      <c r="C23" s="48"/>
      <c r="D23" s="49"/>
      <c r="E23" s="48"/>
      <c r="F23" s="47" t="s">
        <v>7</v>
      </c>
      <c r="G23" s="20">
        <f>G22*0.13</f>
        <v>479700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4.25" customHeight="1" x14ac:dyDescent="0.2">
      <c r="B24" s="55" t="s">
        <v>26</v>
      </c>
      <c r="C24" s="50"/>
      <c r="D24" s="51"/>
      <c r="E24" s="50"/>
      <c r="F24" s="52" t="s">
        <v>5</v>
      </c>
      <c r="G24" s="30">
        <f>G22+G23</f>
        <v>4169700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24.5" customHeight="1" x14ac:dyDescent="0.2">
      <c r="B25" s="63" t="s">
        <v>36</v>
      </c>
      <c r="C25" s="64"/>
      <c r="D25" s="64"/>
      <c r="E25" s="64"/>
      <c r="F25" s="64"/>
      <c r="G25" s="6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7.25" customHeight="1" x14ac:dyDescent="0.2">
      <c r="B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57" customHeight="1" x14ac:dyDescent="0.2">
      <c r="B27" s="56" t="s">
        <v>27</v>
      </c>
      <c r="C27" s="56"/>
      <c r="D27" s="56"/>
      <c r="E27" s="56"/>
      <c r="F27" s="56"/>
      <c r="G27" s="5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94.5" customHeight="1" x14ac:dyDescent="0.2"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x14ac:dyDescent="0.2"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x14ac:dyDescent="0.2"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x14ac:dyDescent="0.2"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x14ac:dyDescent="0.2"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6:27" x14ac:dyDescent="0.2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6:27" x14ac:dyDescent="0.2"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6:27" x14ac:dyDescent="0.2"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6:27" x14ac:dyDescent="0.2"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6:27" x14ac:dyDescent="0.2"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6:27" x14ac:dyDescent="0.2"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6:27" x14ac:dyDescent="0.2"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6:27" x14ac:dyDescent="0.2"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6:27" x14ac:dyDescent="0.2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6:27" x14ac:dyDescent="0.2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6:27" x14ac:dyDescent="0.2"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6:27" x14ac:dyDescent="0.2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6:27" x14ac:dyDescent="0.2"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6:27" x14ac:dyDescent="0.2"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6:27" x14ac:dyDescent="0.2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6:27" x14ac:dyDescent="0.2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6:27" x14ac:dyDescent="0.2"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6:27" x14ac:dyDescent="0.2"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6:27" x14ac:dyDescent="0.2"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6:27" x14ac:dyDescent="0.2"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6:27" x14ac:dyDescent="0.2"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6:27" x14ac:dyDescent="0.2"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6:27" x14ac:dyDescent="0.2"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6:27" x14ac:dyDescent="0.2"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6:27" x14ac:dyDescent="0.2"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6:27" x14ac:dyDescent="0.2"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6:27" x14ac:dyDescent="0.2"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6:27" x14ac:dyDescent="0.2"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6:27" x14ac:dyDescent="0.2"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6:27" x14ac:dyDescent="0.2"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6:27" x14ac:dyDescent="0.2"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6:27" x14ac:dyDescent="0.2"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6:27" x14ac:dyDescent="0.2"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6:27" x14ac:dyDescent="0.2"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6:27" x14ac:dyDescent="0.2"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6:27" x14ac:dyDescent="0.2"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6:27" x14ac:dyDescent="0.2"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6:27" x14ac:dyDescent="0.2"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6:27" x14ac:dyDescent="0.2"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6:27" x14ac:dyDescent="0.2"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6:27" x14ac:dyDescent="0.2"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6:27" x14ac:dyDescent="0.2"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6:27" x14ac:dyDescent="0.2"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6:27" x14ac:dyDescent="0.2"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6:27" x14ac:dyDescent="0.2"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6:27" x14ac:dyDescent="0.2"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6:27" x14ac:dyDescent="0.2"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6:27" x14ac:dyDescent="0.2"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6:27" x14ac:dyDescent="0.2"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6:27" x14ac:dyDescent="0.2"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6:27" x14ac:dyDescent="0.2"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6:27" x14ac:dyDescent="0.2"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6:27" x14ac:dyDescent="0.2"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6:27" x14ac:dyDescent="0.2"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6:27" x14ac:dyDescent="0.2"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6:27" x14ac:dyDescent="0.2"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6:27" x14ac:dyDescent="0.2"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6:27" x14ac:dyDescent="0.2"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6:27" x14ac:dyDescent="0.2"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6:27" x14ac:dyDescent="0.2"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6:27" x14ac:dyDescent="0.2"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6:27" x14ac:dyDescent="0.2"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6:27" x14ac:dyDescent="0.2"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6:27" x14ac:dyDescent="0.2"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6:27" x14ac:dyDescent="0.2"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6:27" x14ac:dyDescent="0.2"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6:27" x14ac:dyDescent="0.2"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6:27" x14ac:dyDescent="0.2"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6:27" x14ac:dyDescent="0.2"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6:27" x14ac:dyDescent="0.2"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6:27" x14ac:dyDescent="0.2"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6:27" x14ac:dyDescent="0.2"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6:27" x14ac:dyDescent="0.2"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6:27" x14ac:dyDescent="0.2"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6:27" x14ac:dyDescent="0.2"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6:27" x14ac:dyDescent="0.2"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6:27" x14ac:dyDescent="0.2"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6:27" x14ac:dyDescent="0.2"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6:27" x14ac:dyDescent="0.2"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6:27" x14ac:dyDescent="0.2"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6:27" x14ac:dyDescent="0.2"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6:27" x14ac:dyDescent="0.2"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6:27" x14ac:dyDescent="0.2"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6:27" x14ac:dyDescent="0.2"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6:27" x14ac:dyDescent="0.2"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6:27" x14ac:dyDescent="0.2"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6:27" x14ac:dyDescent="0.2"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6:27" x14ac:dyDescent="0.2"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6:27" x14ac:dyDescent="0.2"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6:27" x14ac:dyDescent="0.2"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6:27" x14ac:dyDescent="0.2"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6:27" x14ac:dyDescent="0.2"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6:27" x14ac:dyDescent="0.2"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6:27" x14ac:dyDescent="0.2"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6:27" x14ac:dyDescent="0.2"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6:27" x14ac:dyDescent="0.2"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6:27" x14ac:dyDescent="0.2"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6:27" x14ac:dyDescent="0.2"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6:27" x14ac:dyDescent="0.2"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6:27" x14ac:dyDescent="0.2"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6:27" x14ac:dyDescent="0.2"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6:27" x14ac:dyDescent="0.2"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6:27" x14ac:dyDescent="0.2"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6:27" x14ac:dyDescent="0.2"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6:27" x14ac:dyDescent="0.2"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6:27" x14ac:dyDescent="0.2"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6:27" x14ac:dyDescent="0.2"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6:27" x14ac:dyDescent="0.2"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6:27" x14ac:dyDescent="0.2"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6:27" x14ac:dyDescent="0.2"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6:27" x14ac:dyDescent="0.2"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6:27" x14ac:dyDescent="0.2"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6:27" x14ac:dyDescent="0.2"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6:27" x14ac:dyDescent="0.2"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6:27" x14ac:dyDescent="0.2"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6:27" x14ac:dyDescent="0.2"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6:27" x14ac:dyDescent="0.2"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6:27" x14ac:dyDescent="0.2"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6:27" x14ac:dyDescent="0.2"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6:27" x14ac:dyDescent="0.2"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6:27" x14ac:dyDescent="0.2"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6:27" x14ac:dyDescent="0.2"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6:27" x14ac:dyDescent="0.2"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6:27" x14ac:dyDescent="0.2"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6:27" x14ac:dyDescent="0.2"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6:27" x14ac:dyDescent="0.2"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6:27" x14ac:dyDescent="0.2"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6:27" x14ac:dyDescent="0.2"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6:27" x14ac:dyDescent="0.2"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6:27" x14ac:dyDescent="0.2"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6:27" x14ac:dyDescent="0.2"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6:27" x14ac:dyDescent="0.2"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6:27" x14ac:dyDescent="0.2"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6:27" x14ac:dyDescent="0.2"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6:27" x14ac:dyDescent="0.2"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6:27" x14ac:dyDescent="0.2"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6:27" x14ac:dyDescent="0.2"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6:27" x14ac:dyDescent="0.2"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6:27" x14ac:dyDescent="0.2"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6:27" x14ac:dyDescent="0.2"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6:27" x14ac:dyDescent="0.2"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6:27" x14ac:dyDescent="0.2"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6:27" x14ac:dyDescent="0.2"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6:27" x14ac:dyDescent="0.2"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6:27" x14ac:dyDescent="0.2"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6:27" x14ac:dyDescent="0.2"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6:27" x14ac:dyDescent="0.2"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6:27" x14ac:dyDescent="0.2"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6:27" x14ac:dyDescent="0.2"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6:27" x14ac:dyDescent="0.2"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6:27" x14ac:dyDescent="0.2"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6:27" x14ac:dyDescent="0.2"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6:27" x14ac:dyDescent="0.2"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6:27" x14ac:dyDescent="0.2"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6:27" x14ac:dyDescent="0.2"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6:27" x14ac:dyDescent="0.2"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6:27" x14ac:dyDescent="0.2"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6:27" x14ac:dyDescent="0.2"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6:27" x14ac:dyDescent="0.2"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6:27" x14ac:dyDescent="0.2"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6:27" x14ac:dyDescent="0.2"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6:27" x14ac:dyDescent="0.2"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6:27" x14ac:dyDescent="0.2"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6:27" x14ac:dyDescent="0.2"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6:27" x14ac:dyDescent="0.2"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6:27" x14ac:dyDescent="0.2"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6:27" x14ac:dyDescent="0.2"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6:27" x14ac:dyDescent="0.2"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6:27" x14ac:dyDescent="0.2"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6:27" x14ac:dyDescent="0.2"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6:27" x14ac:dyDescent="0.2"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6:27" x14ac:dyDescent="0.2"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6:27" x14ac:dyDescent="0.2"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6:27" x14ac:dyDescent="0.2"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6:27" x14ac:dyDescent="0.2"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6:27" x14ac:dyDescent="0.2"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x14ac:dyDescent="0.2"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x14ac:dyDescent="0.2"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x14ac:dyDescent="0.2"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x14ac:dyDescent="0.2"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x14ac:dyDescent="0.2"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x14ac:dyDescent="0.2"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x14ac:dyDescent="0.2"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x14ac:dyDescent="0.2"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x14ac:dyDescent="0.2"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x14ac:dyDescent="0.2"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x14ac:dyDescent="0.2"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x14ac:dyDescent="0.2"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x14ac:dyDescent="0.2"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x14ac:dyDescent="0.2"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5.75" customHeight="1" x14ac:dyDescent="0.2">
      <c r="B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5.75" customHeight="1" x14ac:dyDescent="0.2">
      <c r="B224" s="2"/>
      <c r="C224" s="2"/>
      <c r="D224" s="3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5.75" customHeight="1" x14ac:dyDescent="0.2">
      <c r="B225" s="2"/>
      <c r="C225" s="2"/>
      <c r="D225" s="3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5.75" customHeight="1" x14ac:dyDescent="0.2">
      <c r="B226" s="2"/>
      <c r="C226" s="2"/>
      <c r="D226" s="3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5.75" customHeight="1" x14ac:dyDescent="0.2">
      <c r="B227" s="2"/>
      <c r="C227" s="2"/>
      <c r="D227" s="3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5.75" customHeight="1" x14ac:dyDescent="0.2">
      <c r="B228" s="2"/>
      <c r="C228" s="2"/>
      <c r="D228" s="3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5.75" customHeight="1" x14ac:dyDescent="0.2">
      <c r="B229" s="2"/>
      <c r="C229" s="2"/>
      <c r="D229" s="3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5.75" customHeight="1" x14ac:dyDescent="0.2">
      <c r="B230" s="2"/>
      <c r="C230" s="2"/>
      <c r="D230" s="3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5.75" customHeight="1" x14ac:dyDescent="0.2">
      <c r="B231" s="2"/>
      <c r="C231" s="2"/>
      <c r="D231" s="3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5.75" customHeight="1" x14ac:dyDescent="0.2">
      <c r="B232" s="2"/>
      <c r="C232" s="2"/>
      <c r="D232" s="3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5.75" customHeight="1" x14ac:dyDescent="0.2">
      <c r="B233" s="2"/>
      <c r="C233" s="2"/>
      <c r="D233" s="3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5.75" customHeight="1" x14ac:dyDescent="0.2">
      <c r="B234" s="2"/>
      <c r="C234" s="2"/>
      <c r="D234" s="3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5.75" customHeight="1" x14ac:dyDescent="0.2">
      <c r="B235" s="2"/>
      <c r="C235" s="2"/>
      <c r="D235" s="3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5.75" customHeight="1" x14ac:dyDescent="0.2">
      <c r="B236" s="2"/>
      <c r="C236" s="2"/>
      <c r="D236" s="3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5.75" customHeight="1" x14ac:dyDescent="0.2">
      <c r="B237" s="2"/>
      <c r="C237" s="2"/>
      <c r="D237" s="3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5.75" customHeight="1" x14ac:dyDescent="0.2">
      <c r="B238" s="2"/>
      <c r="C238" s="2"/>
      <c r="D238" s="3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5.75" customHeight="1" x14ac:dyDescent="0.2">
      <c r="B239" s="2"/>
      <c r="C239" s="2"/>
      <c r="D239" s="3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5.75" customHeight="1" x14ac:dyDescent="0.2">
      <c r="B240" s="2"/>
      <c r="C240" s="2"/>
      <c r="D240" s="3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5.75" customHeight="1" x14ac:dyDescent="0.2">
      <c r="B241" s="2"/>
      <c r="C241" s="2"/>
      <c r="D241" s="3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5.75" customHeight="1" x14ac:dyDescent="0.2">
      <c r="B242" s="2"/>
      <c r="C242" s="2"/>
      <c r="D242" s="3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5.75" customHeight="1" x14ac:dyDescent="0.2">
      <c r="B243" s="2"/>
      <c r="C243" s="2"/>
      <c r="D243" s="3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5.75" customHeight="1" x14ac:dyDescent="0.2">
      <c r="B244" s="2"/>
      <c r="C244" s="2"/>
      <c r="D244" s="3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5.75" customHeight="1" x14ac:dyDescent="0.2">
      <c r="B245" s="2"/>
      <c r="C245" s="2"/>
      <c r="D245" s="3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5.75" customHeight="1" x14ac:dyDescent="0.2">
      <c r="B246" s="2"/>
      <c r="C246" s="2"/>
      <c r="D246" s="3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5.75" customHeight="1" x14ac:dyDescent="0.2">
      <c r="B247" s="2"/>
      <c r="C247" s="2"/>
      <c r="D247" s="3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5.75" customHeight="1" x14ac:dyDescent="0.2">
      <c r="B248" s="2"/>
      <c r="C248" s="2"/>
      <c r="D248" s="3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5.75" customHeight="1" x14ac:dyDescent="0.2">
      <c r="B249" s="2"/>
      <c r="C249" s="2"/>
      <c r="D249" s="3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5.75" customHeight="1" x14ac:dyDescent="0.2">
      <c r="B250" s="2"/>
      <c r="C250" s="2"/>
      <c r="D250" s="3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5.75" customHeight="1" x14ac:dyDescent="0.2">
      <c r="B251" s="2"/>
      <c r="C251" s="2"/>
      <c r="D251" s="3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5.75" customHeight="1" x14ac:dyDescent="0.2">
      <c r="B252" s="2"/>
      <c r="C252" s="2"/>
      <c r="D252" s="3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5.75" customHeight="1" x14ac:dyDescent="0.2">
      <c r="B253" s="2"/>
      <c r="C253" s="2"/>
      <c r="D253" s="3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5.75" customHeight="1" x14ac:dyDescent="0.2">
      <c r="B254" s="2"/>
      <c r="C254" s="2"/>
      <c r="D254" s="3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5.75" customHeight="1" x14ac:dyDescent="0.2">
      <c r="B255" s="2"/>
      <c r="C255" s="2"/>
      <c r="D255" s="3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5.75" customHeight="1" x14ac:dyDescent="0.2">
      <c r="B256" s="2"/>
      <c r="C256" s="2"/>
      <c r="D256" s="3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5.75" customHeight="1" x14ac:dyDescent="0.2">
      <c r="B257" s="2"/>
      <c r="C257" s="2"/>
      <c r="D257" s="3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5.75" customHeight="1" x14ac:dyDescent="0.2">
      <c r="B258" s="2"/>
      <c r="C258" s="2"/>
      <c r="D258" s="3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5.75" customHeight="1" x14ac:dyDescent="0.2">
      <c r="B259" s="2"/>
      <c r="C259" s="2"/>
      <c r="D259" s="3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5.75" customHeight="1" x14ac:dyDescent="0.2">
      <c r="B260" s="2"/>
      <c r="C260" s="2"/>
      <c r="D260" s="3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5.75" customHeight="1" x14ac:dyDescent="0.2">
      <c r="B261" s="2"/>
      <c r="C261" s="2"/>
      <c r="D261" s="3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5.75" customHeight="1" x14ac:dyDescent="0.2">
      <c r="B262" s="2"/>
      <c r="C262" s="2"/>
      <c r="D262" s="3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5.75" customHeight="1" x14ac:dyDescent="0.2">
      <c r="B263" s="2"/>
      <c r="C263" s="2"/>
      <c r="D263" s="3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5.75" customHeight="1" x14ac:dyDescent="0.2">
      <c r="B264" s="2"/>
      <c r="C264" s="2"/>
      <c r="D264" s="3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5.75" customHeight="1" x14ac:dyDescent="0.2">
      <c r="B265" s="2"/>
      <c r="C265" s="2"/>
      <c r="D265" s="3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5.75" customHeight="1" x14ac:dyDescent="0.2">
      <c r="B266" s="2"/>
      <c r="C266" s="2"/>
      <c r="D266" s="3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5.75" customHeight="1" x14ac:dyDescent="0.2">
      <c r="B267" s="2"/>
      <c r="C267" s="2"/>
      <c r="D267" s="3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5.75" customHeight="1" x14ac:dyDescent="0.2">
      <c r="B268" s="2"/>
      <c r="C268" s="2"/>
      <c r="D268" s="3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5.75" customHeight="1" x14ac:dyDescent="0.2">
      <c r="B269" s="2"/>
      <c r="C269" s="2"/>
      <c r="D269" s="3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5.75" customHeight="1" x14ac:dyDescent="0.2">
      <c r="B270" s="2"/>
      <c r="C270" s="2"/>
      <c r="D270" s="3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5.75" customHeight="1" x14ac:dyDescent="0.2">
      <c r="B271" s="2"/>
      <c r="C271" s="2"/>
      <c r="D271" s="3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5.75" customHeight="1" x14ac:dyDescent="0.2">
      <c r="B272" s="2"/>
      <c r="C272" s="2"/>
      <c r="D272" s="3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5.75" customHeight="1" x14ac:dyDescent="0.2">
      <c r="B273" s="2"/>
      <c r="C273" s="2"/>
      <c r="D273" s="3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5.75" customHeight="1" x14ac:dyDescent="0.2">
      <c r="B274" s="2"/>
      <c r="C274" s="2"/>
      <c r="D274" s="3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5.75" customHeight="1" x14ac:dyDescent="0.2">
      <c r="B275" s="2"/>
      <c r="C275" s="2"/>
      <c r="D275" s="3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5.75" customHeight="1" x14ac:dyDescent="0.2">
      <c r="B276" s="2"/>
      <c r="C276" s="2"/>
      <c r="D276" s="3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5.75" customHeight="1" x14ac:dyDescent="0.2">
      <c r="B277" s="2"/>
      <c r="C277" s="2"/>
      <c r="D277" s="3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5.75" customHeight="1" x14ac:dyDescent="0.2">
      <c r="B278" s="2"/>
      <c r="C278" s="2"/>
      <c r="D278" s="3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5.75" customHeight="1" x14ac:dyDescent="0.2">
      <c r="B279" s="2"/>
      <c r="C279" s="2"/>
      <c r="D279" s="3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5.75" customHeight="1" x14ac:dyDescent="0.2">
      <c r="B280" s="2"/>
      <c r="C280" s="2"/>
      <c r="D280" s="3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5.75" customHeight="1" x14ac:dyDescent="0.2">
      <c r="B281" s="2"/>
      <c r="C281" s="2"/>
      <c r="D281" s="3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5.75" customHeight="1" x14ac:dyDescent="0.2">
      <c r="B282" s="2"/>
      <c r="C282" s="2"/>
      <c r="D282" s="3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5.75" customHeight="1" x14ac:dyDescent="0.2">
      <c r="B283" s="2"/>
      <c r="C283" s="2"/>
      <c r="D283" s="3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5.75" customHeight="1" x14ac:dyDescent="0.2">
      <c r="B284" s="2"/>
      <c r="C284" s="2"/>
      <c r="D284" s="3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5.75" customHeight="1" x14ac:dyDescent="0.2">
      <c r="B285" s="2"/>
      <c r="C285" s="2"/>
      <c r="D285" s="3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5.75" customHeight="1" x14ac:dyDescent="0.2">
      <c r="B286" s="2"/>
      <c r="C286" s="2"/>
      <c r="D286" s="3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5.75" customHeight="1" x14ac:dyDescent="0.2">
      <c r="B287" s="2"/>
      <c r="C287" s="2"/>
      <c r="D287" s="3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5.75" customHeight="1" x14ac:dyDescent="0.2">
      <c r="B288" s="2"/>
      <c r="C288" s="2"/>
      <c r="D288" s="3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5.75" customHeight="1" x14ac:dyDescent="0.2">
      <c r="B289" s="2"/>
      <c r="C289" s="2"/>
      <c r="D289" s="3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5.75" customHeight="1" x14ac:dyDescent="0.2">
      <c r="B290" s="2"/>
      <c r="C290" s="2"/>
      <c r="D290" s="3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5.75" customHeight="1" x14ac:dyDescent="0.2">
      <c r="B291" s="2"/>
      <c r="C291" s="2"/>
      <c r="D291" s="3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5.75" customHeight="1" x14ac:dyDescent="0.2">
      <c r="B292" s="2"/>
      <c r="C292" s="2"/>
      <c r="D292" s="3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5.75" customHeight="1" x14ac:dyDescent="0.2">
      <c r="B293" s="2"/>
      <c r="C293" s="2"/>
      <c r="D293" s="3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5.75" customHeight="1" x14ac:dyDescent="0.2">
      <c r="B294" s="2"/>
      <c r="C294" s="2"/>
      <c r="D294" s="3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5.75" customHeight="1" x14ac:dyDescent="0.2">
      <c r="B295" s="2"/>
      <c r="C295" s="2"/>
      <c r="D295" s="3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5.75" customHeight="1" x14ac:dyDescent="0.2">
      <c r="B296" s="2"/>
      <c r="C296" s="2"/>
      <c r="D296" s="3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5.75" customHeight="1" x14ac:dyDescent="0.2">
      <c r="B297" s="2"/>
      <c r="C297" s="2"/>
      <c r="D297" s="3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5.75" customHeight="1" x14ac:dyDescent="0.2">
      <c r="B298" s="2"/>
      <c r="C298" s="2"/>
      <c r="D298" s="3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5.75" customHeight="1" x14ac:dyDescent="0.2">
      <c r="B299" s="2"/>
      <c r="C299" s="2"/>
      <c r="D299" s="3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5.75" customHeight="1" x14ac:dyDescent="0.2">
      <c r="B300" s="2"/>
      <c r="C300" s="2"/>
      <c r="D300" s="3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5.75" customHeight="1" x14ac:dyDescent="0.2">
      <c r="B301" s="2"/>
      <c r="C301" s="2"/>
      <c r="D301" s="3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5.75" customHeight="1" x14ac:dyDescent="0.2">
      <c r="B302" s="2"/>
      <c r="C302" s="2"/>
      <c r="D302" s="3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5.75" customHeight="1" x14ac:dyDescent="0.2">
      <c r="B303" s="2"/>
      <c r="C303" s="2"/>
      <c r="D303" s="3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5.75" customHeight="1" x14ac:dyDescent="0.2">
      <c r="B304" s="2"/>
      <c r="C304" s="2"/>
      <c r="D304" s="3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5.75" customHeight="1" x14ac:dyDescent="0.2">
      <c r="B305" s="2"/>
      <c r="C305" s="2"/>
      <c r="D305" s="3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5.75" customHeight="1" x14ac:dyDescent="0.2">
      <c r="B306" s="2"/>
      <c r="C306" s="2"/>
      <c r="D306" s="3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5.75" customHeight="1" x14ac:dyDescent="0.2">
      <c r="B307" s="2"/>
      <c r="C307" s="2"/>
      <c r="D307" s="3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5.75" customHeight="1" x14ac:dyDescent="0.2">
      <c r="B308" s="2"/>
      <c r="C308" s="2"/>
      <c r="D308" s="3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5.75" customHeight="1" x14ac:dyDescent="0.2">
      <c r="B309" s="2"/>
      <c r="C309" s="2"/>
      <c r="D309" s="3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5.75" customHeight="1" x14ac:dyDescent="0.2">
      <c r="B310" s="2"/>
      <c r="C310" s="2"/>
      <c r="D310" s="3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5.75" customHeight="1" x14ac:dyDescent="0.2">
      <c r="B311" s="2"/>
      <c r="C311" s="2"/>
      <c r="D311" s="3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5.75" customHeight="1" x14ac:dyDescent="0.2">
      <c r="B312" s="2"/>
      <c r="C312" s="2"/>
      <c r="D312" s="3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5.75" customHeight="1" x14ac:dyDescent="0.2">
      <c r="B313" s="2"/>
      <c r="C313" s="2"/>
      <c r="D313" s="35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5.75" customHeight="1" x14ac:dyDescent="0.2">
      <c r="B314" s="2"/>
      <c r="C314" s="2"/>
      <c r="D314" s="35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5.75" customHeight="1" x14ac:dyDescent="0.2">
      <c r="B315" s="2"/>
      <c r="C315" s="2"/>
      <c r="D315" s="35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5.75" customHeight="1" x14ac:dyDescent="0.2">
      <c r="B316" s="2"/>
      <c r="C316" s="2"/>
      <c r="D316" s="35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5.75" customHeight="1" x14ac:dyDescent="0.2">
      <c r="B317" s="2"/>
      <c r="C317" s="2"/>
      <c r="D317" s="35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5.75" customHeight="1" x14ac:dyDescent="0.2">
      <c r="B318" s="2"/>
      <c r="C318" s="2"/>
      <c r="D318" s="35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5.75" customHeight="1" x14ac:dyDescent="0.2">
      <c r="B319" s="2"/>
      <c r="C319" s="2"/>
      <c r="D319" s="35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5.75" customHeight="1" x14ac:dyDescent="0.2">
      <c r="B320" s="2"/>
      <c r="C320" s="2"/>
      <c r="D320" s="35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5.75" customHeight="1" x14ac:dyDescent="0.2">
      <c r="B321" s="2"/>
      <c r="C321" s="2"/>
      <c r="D321" s="35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5.75" customHeight="1" x14ac:dyDescent="0.2">
      <c r="B322" s="2"/>
      <c r="C322" s="2"/>
      <c r="D322" s="35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5.75" customHeight="1" x14ac:dyDescent="0.2">
      <c r="B323" s="2"/>
      <c r="C323" s="2"/>
      <c r="D323" s="35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5.75" customHeight="1" x14ac:dyDescent="0.2">
      <c r="B324" s="2"/>
      <c r="C324" s="2"/>
      <c r="D324" s="35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5.75" customHeight="1" x14ac:dyDescent="0.2">
      <c r="B325" s="2"/>
      <c r="C325" s="2"/>
      <c r="D325" s="3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5.75" customHeight="1" x14ac:dyDescent="0.2">
      <c r="B326" s="2"/>
      <c r="C326" s="2"/>
      <c r="D326" s="3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5.75" customHeight="1" x14ac:dyDescent="0.2">
      <c r="B327" s="2"/>
      <c r="C327" s="2"/>
      <c r="D327" s="3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5.75" customHeight="1" x14ac:dyDescent="0.2">
      <c r="B328" s="2"/>
      <c r="C328" s="2"/>
      <c r="D328" s="3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5.75" customHeight="1" x14ac:dyDescent="0.2">
      <c r="B329" s="2"/>
      <c r="C329" s="2"/>
      <c r="D329" s="35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5.75" customHeight="1" x14ac:dyDescent="0.2">
      <c r="B330" s="2"/>
      <c r="C330" s="2"/>
      <c r="D330" s="3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5.75" customHeight="1" x14ac:dyDescent="0.2">
      <c r="B331" s="2"/>
      <c r="C331" s="2"/>
      <c r="D331" s="35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5.75" customHeight="1" x14ac:dyDescent="0.2">
      <c r="B332" s="2"/>
      <c r="C332" s="2"/>
      <c r="D332" s="35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5.75" customHeight="1" x14ac:dyDescent="0.2">
      <c r="B333" s="2"/>
      <c r="C333" s="2"/>
      <c r="D333" s="3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5.75" customHeight="1" x14ac:dyDescent="0.2">
      <c r="B334" s="2"/>
      <c r="C334" s="2"/>
      <c r="D334" s="35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5.75" customHeight="1" x14ac:dyDescent="0.2">
      <c r="B335" s="2"/>
      <c r="C335" s="2"/>
      <c r="D335" s="3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5.75" customHeight="1" x14ac:dyDescent="0.2">
      <c r="B336" s="2"/>
      <c r="C336" s="2"/>
      <c r="D336" s="3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5.75" customHeight="1" x14ac:dyDescent="0.2">
      <c r="B337" s="2"/>
      <c r="C337" s="2"/>
      <c r="D337" s="3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5.75" customHeight="1" x14ac:dyDescent="0.2">
      <c r="B338" s="2"/>
      <c r="C338" s="2"/>
      <c r="D338" s="3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5.75" customHeight="1" x14ac:dyDescent="0.2">
      <c r="B339" s="2"/>
      <c r="C339" s="2"/>
      <c r="D339" s="3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5.75" customHeight="1" x14ac:dyDescent="0.2">
      <c r="B340" s="2"/>
      <c r="C340" s="2"/>
      <c r="D340" s="3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5.75" customHeight="1" x14ac:dyDescent="0.2">
      <c r="B341" s="2"/>
      <c r="C341" s="2"/>
      <c r="D341" s="3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5.75" customHeight="1" x14ac:dyDescent="0.2">
      <c r="B342" s="2"/>
      <c r="C342" s="2"/>
      <c r="D342" s="3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5.75" customHeight="1" x14ac:dyDescent="0.2">
      <c r="B343" s="2"/>
      <c r="C343" s="2"/>
      <c r="D343" s="3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5.75" customHeight="1" x14ac:dyDescent="0.2">
      <c r="B344" s="2"/>
      <c r="C344" s="2"/>
      <c r="D344" s="3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5.75" customHeight="1" x14ac:dyDescent="0.2">
      <c r="B345" s="2"/>
      <c r="C345" s="2"/>
      <c r="D345" s="3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5.75" customHeight="1" x14ac:dyDescent="0.2">
      <c r="B346" s="2"/>
      <c r="C346" s="2"/>
      <c r="D346" s="3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5.75" customHeight="1" x14ac:dyDescent="0.2">
      <c r="B347" s="2"/>
      <c r="C347" s="2"/>
      <c r="D347" s="3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5.75" customHeight="1" x14ac:dyDescent="0.2">
      <c r="B348" s="2"/>
      <c r="C348" s="2"/>
      <c r="D348" s="3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5.75" customHeight="1" x14ac:dyDescent="0.2">
      <c r="B349" s="2"/>
      <c r="C349" s="2"/>
      <c r="D349" s="3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5.75" customHeight="1" x14ac:dyDescent="0.2">
      <c r="B350" s="2"/>
      <c r="C350" s="2"/>
      <c r="D350" s="3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5.75" customHeight="1" x14ac:dyDescent="0.2">
      <c r="B351" s="2"/>
      <c r="C351" s="2"/>
      <c r="D351" s="3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5.75" customHeight="1" x14ac:dyDescent="0.2">
      <c r="B352" s="2"/>
      <c r="C352" s="2"/>
      <c r="D352" s="3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5.75" customHeight="1" x14ac:dyDescent="0.2">
      <c r="B353" s="2"/>
      <c r="C353" s="2"/>
      <c r="D353" s="3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5.75" customHeight="1" x14ac:dyDescent="0.2">
      <c r="B354" s="2"/>
      <c r="C354" s="2"/>
      <c r="D354" s="3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5.75" customHeight="1" x14ac:dyDescent="0.2">
      <c r="B355" s="2"/>
      <c r="C355" s="2"/>
      <c r="D355" s="3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5.75" customHeight="1" x14ac:dyDescent="0.2">
      <c r="B356" s="2"/>
      <c r="C356" s="2"/>
      <c r="D356" s="3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5.75" customHeight="1" x14ac:dyDescent="0.2">
      <c r="B357" s="2"/>
      <c r="C357" s="2"/>
      <c r="D357" s="3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5.75" customHeight="1" x14ac:dyDescent="0.2">
      <c r="B358" s="2"/>
      <c r="C358" s="2"/>
      <c r="D358" s="3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5.75" customHeight="1" x14ac:dyDescent="0.2">
      <c r="B359" s="2"/>
      <c r="C359" s="2"/>
      <c r="D359" s="3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5.75" customHeight="1" x14ac:dyDescent="0.2">
      <c r="B360" s="2"/>
      <c r="C360" s="2"/>
      <c r="D360" s="3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5.75" customHeight="1" x14ac:dyDescent="0.2">
      <c r="B361" s="2"/>
      <c r="C361" s="2"/>
      <c r="D361" s="3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5.75" customHeight="1" x14ac:dyDescent="0.2">
      <c r="B362" s="2"/>
      <c r="C362" s="2"/>
      <c r="D362" s="3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5.75" customHeight="1" x14ac:dyDescent="0.2">
      <c r="B363" s="2"/>
      <c r="C363" s="2"/>
      <c r="D363" s="3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5.75" customHeight="1" x14ac:dyDescent="0.2">
      <c r="B364" s="2"/>
      <c r="C364" s="2"/>
      <c r="D364" s="3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5.75" customHeight="1" x14ac:dyDescent="0.2">
      <c r="B365" s="2"/>
      <c r="C365" s="2"/>
      <c r="D365" s="3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5.75" customHeight="1" x14ac:dyDescent="0.2">
      <c r="B366" s="2"/>
      <c r="C366" s="2"/>
      <c r="D366" s="3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5.75" customHeight="1" x14ac:dyDescent="0.2">
      <c r="B367" s="2"/>
      <c r="C367" s="2"/>
      <c r="D367" s="3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5.75" customHeight="1" x14ac:dyDescent="0.2">
      <c r="B368" s="2"/>
      <c r="C368" s="2"/>
      <c r="D368" s="3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5.75" customHeight="1" x14ac:dyDescent="0.2">
      <c r="B369" s="2"/>
      <c r="C369" s="2"/>
      <c r="D369" s="3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5.75" customHeight="1" x14ac:dyDescent="0.2">
      <c r="B370" s="2"/>
      <c r="C370" s="2"/>
      <c r="D370" s="3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5.75" customHeight="1" x14ac:dyDescent="0.2">
      <c r="B371" s="2"/>
      <c r="C371" s="2"/>
      <c r="D371" s="3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5.75" customHeight="1" x14ac:dyDescent="0.2">
      <c r="B372" s="2"/>
      <c r="C372" s="2"/>
      <c r="D372" s="3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5.75" customHeight="1" x14ac:dyDescent="0.2">
      <c r="B373" s="2"/>
      <c r="C373" s="2"/>
      <c r="D373" s="3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5.75" customHeight="1" x14ac:dyDescent="0.2">
      <c r="B374" s="2"/>
      <c r="C374" s="2"/>
      <c r="D374" s="3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5.75" customHeight="1" x14ac:dyDescent="0.2">
      <c r="B375" s="2"/>
      <c r="C375" s="2"/>
      <c r="D375" s="3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5.75" customHeight="1" x14ac:dyDescent="0.2">
      <c r="B376" s="2"/>
      <c r="C376" s="2"/>
      <c r="D376" s="3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5.75" customHeight="1" x14ac:dyDescent="0.2">
      <c r="B377" s="2"/>
      <c r="C377" s="2"/>
      <c r="D377" s="3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5.75" customHeight="1" x14ac:dyDescent="0.2">
      <c r="B378" s="2"/>
      <c r="C378" s="2"/>
      <c r="D378" s="3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5.75" customHeight="1" x14ac:dyDescent="0.2">
      <c r="B379" s="2"/>
      <c r="C379" s="2"/>
      <c r="D379" s="3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5.75" customHeight="1" x14ac:dyDescent="0.2">
      <c r="B380" s="2"/>
      <c r="C380" s="2"/>
      <c r="D380" s="3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5.75" customHeight="1" x14ac:dyDescent="0.2">
      <c r="B381" s="2"/>
      <c r="C381" s="2"/>
      <c r="D381" s="3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5.75" customHeight="1" x14ac:dyDescent="0.2">
      <c r="B382" s="2"/>
      <c r="C382" s="2"/>
      <c r="D382" s="3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5.75" customHeight="1" x14ac:dyDescent="0.2">
      <c r="B383" s="2"/>
      <c r="C383" s="2"/>
      <c r="D383" s="3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5.75" customHeight="1" x14ac:dyDescent="0.2">
      <c r="B384" s="2"/>
      <c r="C384" s="2"/>
      <c r="D384" s="3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5.75" customHeight="1" x14ac:dyDescent="0.2">
      <c r="B385" s="2"/>
      <c r="C385" s="2"/>
      <c r="D385" s="3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5.75" customHeight="1" x14ac:dyDescent="0.2">
      <c r="B386" s="2"/>
      <c r="C386" s="2"/>
      <c r="D386" s="3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5.75" customHeight="1" x14ac:dyDescent="0.2">
      <c r="B387" s="2"/>
      <c r="C387" s="2"/>
      <c r="D387" s="3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5.75" customHeight="1" x14ac:dyDescent="0.2">
      <c r="B388" s="2"/>
      <c r="C388" s="2"/>
      <c r="D388" s="3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5.75" customHeight="1" x14ac:dyDescent="0.2">
      <c r="B389" s="2"/>
      <c r="C389" s="2"/>
      <c r="D389" s="3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5.75" customHeight="1" x14ac:dyDescent="0.2">
      <c r="B390" s="2"/>
      <c r="C390" s="2"/>
      <c r="D390" s="3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5.75" customHeight="1" x14ac:dyDescent="0.2">
      <c r="B391" s="2"/>
      <c r="C391" s="2"/>
      <c r="D391" s="3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5.75" customHeight="1" x14ac:dyDescent="0.2">
      <c r="B392" s="2"/>
      <c r="C392" s="2"/>
      <c r="D392" s="3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5.75" customHeight="1" x14ac:dyDescent="0.2">
      <c r="B393" s="2"/>
      <c r="C393" s="2"/>
      <c r="D393" s="3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5.75" customHeight="1" x14ac:dyDescent="0.2">
      <c r="B394" s="2"/>
      <c r="C394" s="2"/>
      <c r="D394" s="3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5.75" customHeight="1" x14ac:dyDescent="0.2">
      <c r="B395" s="2"/>
      <c r="C395" s="2"/>
      <c r="D395" s="3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5.75" customHeight="1" x14ac:dyDescent="0.2">
      <c r="B396" s="2"/>
      <c r="C396" s="2"/>
      <c r="D396" s="3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5.75" customHeight="1" x14ac:dyDescent="0.2">
      <c r="B397" s="2"/>
      <c r="C397" s="2"/>
      <c r="D397" s="3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5.75" customHeight="1" x14ac:dyDescent="0.2">
      <c r="B398" s="2"/>
      <c r="C398" s="2"/>
      <c r="D398" s="3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5.75" customHeight="1" x14ac:dyDescent="0.2">
      <c r="B399" s="2"/>
      <c r="C399" s="2"/>
      <c r="D399" s="3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5.75" customHeight="1" x14ac:dyDescent="0.2">
      <c r="B400" s="2"/>
      <c r="C400" s="2"/>
      <c r="D400" s="3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5.75" customHeight="1" x14ac:dyDescent="0.2">
      <c r="B401" s="2"/>
      <c r="C401" s="2"/>
      <c r="D401" s="3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5.75" customHeight="1" x14ac:dyDescent="0.2">
      <c r="B402" s="2"/>
      <c r="C402" s="2"/>
      <c r="D402" s="3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5.75" customHeight="1" x14ac:dyDescent="0.2">
      <c r="B403" s="2"/>
      <c r="C403" s="2"/>
      <c r="D403" s="3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5.75" customHeight="1" x14ac:dyDescent="0.2">
      <c r="B404" s="2"/>
      <c r="C404" s="2"/>
      <c r="D404" s="3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5.75" customHeight="1" x14ac:dyDescent="0.2">
      <c r="B405" s="2"/>
      <c r="C405" s="2"/>
      <c r="D405" s="3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5.75" customHeight="1" x14ac:dyDescent="0.2">
      <c r="B406" s="2"/>
      <c r="C406" s="2"/>
      <c r="D406" s="35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5.75" customHeight="1" x14ac:dyDescent="0.2">
      <c r="B407" s="2"/>
      <c r="C407" s="2"/>
      <c r="D407" s="35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5.75" customHeight="1" x14ac:dyDescent="0.2">
      <c r="B408" s="2"/>
      <c r="C408" s="2"/>
      <c r="D408" s="35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5.75" customHeight="1" x14ac:dyDescent="0.2">
      <c r="B409" s="2"/>
      <c r="C409" s="2"/>
      <c r="D409" s="35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5.75" customHeight="1" x14ac:dyDescent="0.2">
      <c r="B410" s="2"/>
      <c r="C410" s="2"/>
      <c r="D410" s="35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5.75" customHeight="1" x14ac:dyDescent="0.2">
      <c r="B411" s="2"/>
      <c r="C411" s="2"/>
      <c r="D411" s="35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5.75" customHeight="1" x14ac:dyDescent="0.2">
      <c r="B412" s="2"/>
      <c r="C412" s="2"/>
      <c r="D412" s="35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5.75" customHeight="1" x14ac:dyDescent="0.2">
      <c r="B413" s="2"/>
      <c r="C413" s="2"/>
      <c r="D413" s="35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5.75" customHeight="1" x14ac:dyDescent="0.2">
      <c r="B414" s="2"/>
      <c r="C414" s="2"/>
      <c r="D414" s="35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5.75" customHeight="1" x14ac:dyDescent="0.2">
      <c r="B415" s="2"/>
      <c r="C415" s="2"/>
      <c r="D415" s="35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5.75" customHeight="1" x14ac:dyDescent="0.2">
      <c r="B416" s="2"/>
      <c r="C416" s="2"/>
      <c r="D416" s="35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5.75" customHeight="1" x14ac:dyDescent="0.2">
      <c r="B417" s="2"/>
      <c r="C417" s="2"/>
      <c r="D417" s="35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5.75" customHeight="1" x14ac:dyDescent="0.2">
      <c r="B418" s="2"/>
      <c r="C418" s="2"/>
      <c r="D418" s="35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5.75" customHeight="1" x14ac:dyDescent="0.2">
      <c r="B419" s="2"/>
      <c r="C419" s="2"/>
      <c r="D419" s="35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5.75" customHeight="1" x14ac:dyDescent="0.2">
      <c r="B420" s="2"/>
      <c r="C420" s="2"/>
      <c r="D420" s="35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5.75" customHeight="1" x14ac:dyDescent="0.2">
      <c r="B421" s="2"/>
      <c r="C421" s="2"/>
      <c r="D421" s="35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5.75" customHeight="1" x14ac:dyDescent="0.2">
      <c r="B422" s="2"/>
      <c r="C422" s="2"/>
      <c r="D422" s="35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5.75" customHeight="1" x14ac:dyDescent="0.2">
      <c r="B423" s="2"/>
      <c r="C423" s="2"/>
      <c r="D423" s="35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5.75" customHeight="1" x14ac:dyDescent="0.2">
      <c r="B424" s="2"/>
      <c r="C424" s="2"/>
      <c r="D424" s="35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5.75" customHeight="1" x14ac:dyDescent="0.2">
      <c r="B425" s="2"/>
      <c r="C425" s="2"/>
      <c r="D425" s="35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5.75" customHeight="1" x14ac:dyDescent="0.2">
      <c r="B426" s="2"/>
      <c r="C426" s="2"/>
      <c r="D426" s="35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5.75" customHeight="1" x14ac:dyDescent="0.2">
      <c r="B427" s="2"/>
      <c r="C427" s="2"/>
      <c r="D427" s="35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5.75" customHeight="1" x14ac:dyDescent="0.2">
      <c r="B428" s="2"/>
      <c r="C428" s="2"/>
      <c r="D428" s="35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5.75" customHeight="1" x14ac:dyDescent="0.2">
      <c r="B429" s="2"/>
      <c r="C429" s="2"/>
      <c r="D429" s="35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5.75" customHeight="1" x14ac:dyDescent="0.2">
      <c r="B430" s="2"/>
      <c r="C430" s="2"/>
      <c r="D430" s="35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5.75" customHeight="1" x14ac:dyDescent="0.2">
      <c r="B431" s="2"/>
      <c r="C431" s="2"/>
      <c r="D431" s="35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5.75" customHeight="1" x14ac:dyDescent="0.2">
      <c r="B432" s="2"/>
      <c r="C432" s="2"/>
      <c r="D432" s="35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5.75" customHeight="1" x14ac:dyDescent="0.2">
      <c r="B433" s="2"/>
      <c r="C433" s="2"/>
      <c r="D433" s="35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5.75" customHeight="1" x14ac:dyDescent="0.2">
      <c r="B434" s="2"/>
      <c r="C434" s="2"/>
      <c r="D434" s="35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5.75" customHeight="1" x14ac:dyDescent="0.2">
      <c r="B435" s="2"/>
      <c r="C435" s="2"/>
      <c r="D435" s="35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5.75" customHeight="1" x14ac:dyDescent="0.2">
      <c r="B436" s="2"/>
      <c r="C436" s="2"/>
      <c r="D436" s="3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5.75" customHeight="1" x14ac:dyDescent="0.2">
      <c r="B437" s="2"/>
      <c r="C437" s="2"/>
      <c r="D437" s="35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5.75" customHeight="1" x14ac:dyDescent="0.2">
      <c r="B438" s="2"/>
      <c r="C438" s="2"/>
      <c r="D438" s="35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5.75" customHeight="1" x14ac:dyDescent="0.2">
      <c r="B439" s="2"/>
      <c r="C439" s="2"/>
      <c r="D439" s="35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5.75" customHeight="1" x14ac:dyDescent="0.2">
      <c r="B440" s="2"/>
      <c r="C440" s="2"/>
      <c r="D440" s="35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5.75" customHeight="1" x14ac:dyDescent="0.2">
      <c r="B441" s="2"/>
      <c r="C441" s="2"/>
      <c r="D441" s="35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5.75" customHeight="1" x14ac:dyDescent="0.2">
      <c r="B442" s="2"/>
      <c r="C442" s="2"/>
      <c r="D442" s="35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5.75" customHeight="1" x14ac:dyDescent="0.2">
      <c r="B443" s="2"/>
      <c r="C443" s="2"/>
      <c r="D443" s="3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5.75" customHeight="1" x14ac:dyDescent="0.2">
      <c r="B444" s="2"/>
      <c r="C444" s="2"/>
      <c r="D444" s="35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5.75" customHeight="1" x14ac:dyDescent="0.2">
      <c r="B445" s="2"/>
      <c r="C445" s="2"/>
      <c r="D445" s="35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5.75" customHeight="1" x14ac:dyDescent="0.2">
      <c r="B446" s="2"/>
      <c r="C446" s="2"/>
      <c r="D446" s="35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5.75" customHeight="1" x14ac:dyDescent="0.2">
      <c r="B447" s="2"/>
      <c r="C447" s="2"/>
      <c r="D447" s="35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5.75" customHeight="1" x14ac:dyDescent="0.2">
      <c r="B448" s="2"/>
      <c r="C448" s="2"/>
      <c r="D448" s="35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5.75" customHeight="1" x14ac:dyDescent="0.2">
      <c r="B449" s="2"/>
      <c r="C449" s="2"/>
      <c r="D449" s="35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5.75" customHeight="1" x14ac:dyDescent="0.2">
      <c r="B450" s="2"/>
      <c r="C450" s="2"/>
      <c r="D450" s="35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5.75" customHeight="1" x14ac:dyDescent="0.2">
      <c r="B451" s="2"/>
      <c r="C451" s="2"/>
      <c r="D451" s="35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5.75" customHeight="1" x14ac:dyDescent="0.2">
      <c r="B452" s="2"/>
      <c r="C452" s="2"/>
      <c r="D452" s="35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5.75" customHeight="1" x14ac:dyDescent="0.2">
      <c r="B453" s="2"/>
      <c r="C453" s="2"/>
      <c r="D453" s="35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5.75" customHeight="1" x14ac:dyDescent="0.2">
      <c r="B454" s="2"/>
      <c r="C454" s="2"/>
      <c r="D454" s="35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5.75" customHeight="1" x14ac:dyDescent="0.2">
      <c r="B455" s="2"/>
      <c r="C455" s="2"/>
      <c r="D455" s="35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5.75" customHeight="1" x14ac:dyDescent="0.2">
      <c r="B456" s="2"/>
      <c r="C456" s="2"/>
      <c r="D456" s="35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5.75" customHeight="1" x14ac:dyDescent="0.2">
      <c r="B457" s="2"/>
      <c r="C457" s="2"/>
      <c r="D457" s="35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5.75" customHeight="1" x14ac:dyDescent="0.2">
      <c r="B458" s="2"/>
      <c r="C458" s="2"/>
      <c r="D458" s="35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5.75" customHeight="1" x14ac:dyDescent="0.2">
      <c r="B459" s="2"/>
      <c r="C459" s="2"/>
      <c r="D459" s="35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5.75" customHeight="1" x14ac:dyDescent="0.2">
      <c r="B460" s="2"/>
      <c r="C460" s="2"/>
      <c r="D460" s="35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5.75" customHeight="1" x14ac:dyDescent="0.2">
      <c r="B461" s="2"/>
      <c r="C461" s="2"/>
      <c r="D461" s="35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5.75" customHeight="1" x14ac:dyDescent="0.2">
      <c r="B462" s="2"/>
      <c r="C462" s="2"/>
      <c r="D462" s="35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5.75" customHeight="1" x14ac:dyDescent="0.2">
      <c r="B463" s="2"/>
      <c r="C463" s="2"/>
      <c r="D463" s="35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5.75" customHeight="1" x14ac:dyDescent="0.2">
      <c r="B464" s="2"/>
      <c r="C464" s="2"/>
      <c r="D464" s="35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5.75" customHeight="1" x14ac:dyDescent="0.2">
      <c r="B465" s="2"/>
      <c r="C465" s="2"/>
      <c r="D465" s="35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5.75" customHeight="1" x14ac:dyDescent="0.2">
      <c r="B466" s="2"/>
      <c r="C466" s="2"/>
      <c r="D466" s="35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5.75" customHeight="1" x14ac:dyDescent="0.2">
      <c r="B467" s="2"/>
      <c r="C467" s="2"/>
      <c r="D467" s="35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5.75" customHeight="1" x14ac:dyDescent="0.2">
      <c r="B468" s="2"/>
      <c r="C468" s="2"/>
      <c r="D468" s="35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5.75" customHeight="1" x14ac:dyDescent="0.2">
      <c r="B469" s="2"/>
      <c r="C469" s="2"/>
      <c r="D469" s="35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5.75" customHeight="1" x14ac:dyDescent="0.2">
      <c r="B470" s="2"/>
      <c r="C470" s="2"/>
      <c r="D470" s="35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5.75" customHeight="1" x14ac:dyDescent="0.2">
      <c r="B471" s="2"/>
      <c r="C471" s="2"/>
      <c r="D471" s="35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5.75" customHeight="1" x14ac:dyDescent="0.2">
      <c r="B472" s="2"/>
      <c r="C472" s="2"/>
      <c r="D472" s="35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5.75" customHeight="1" x14ac:dyDescent="0.2">
      <c r="B473" s="2"/>
      <c r="C473" s="2"/>
      <c r="D473" s="35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5.75" customHeight="1" x14ac:dyDescent="0.2">
      <c r="B474" s="2"/>
      <c r="C474" s="2"/>
      <c r="D474" s="35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5.75" customHeight="1" x14ac:dyDescent="0.2">
      <c r="B475" s="2"/>
      <c r="C475" s="2"/>
      <c r="D475" s="35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5.75" customHeight="1" x14ac:dyDescent="0.2">
      <c r="B476" s="2"/>
      <c r="C476" s="2"/>
      <c r="D476" s="35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5.75" customHeight="1" x14ac:dyDescent="0.2">
      <c r="B477" s="2"/>
      <c r="C477" s="2"/>
      <c r="D477" s="35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5.75" customHeight="1" x14ac:dyDescent="0.2">
      <c r="B478" s="2"/>
      <c r="C478" s="2"/>
      <c r="D478" s="35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5.75" customHeight="1" x14ac:dyDescent="0.2">
      <c r="B479" s="2"/>
      <c r="C479" s="2"/>
      <c r="D479" s="35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5.75" customHeight="1" x14ac:dyDescent="0.2">
      <c r="B480" s="2"/>
      <c r="C480" s="2"/>
      <c r="D480" s="35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5.75" customHeight="1" x14ac:dyDescent="0.2">
      <c r="B481" s="2"/>
      <c r="C481" s="2"/>
      <c r="D481" s="35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5.75" customHeight="1" x14ac:dyDescent="0.2">
      <c r="B482" s="2"/>
      <c r="C482" s="2"/>
      <c r="D482" s="35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5.75" customHeight="1" x14ac:dyDescent="0.2">
      <c r="B483" s="2"/>
      <c r="C483" s="2"/>
      <c r="D483" s="35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5.75" customHeight="1" x14ac:dyDescent="0.2">
      <c r="B484" s="2"/>
      <c r="C484" s="2"/>
      <c r="D484" s="35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5.75" customHeight="1" x14ac:dyDescent="0.2">
      <c r="B485" s="2"/>
      <c r="C485" s="2"/>
      <c r="D485" s="35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5.75" customHeight="1" x14ac:dyDescent="0.2">
      <c r="B486" s="2"/>
      <c r="C486" s="2"/>
      <c r="D486" s="35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5.75" customHeight="1" x14ac:dyDescent="0.2">
      <c r="B487" s="2"/>
      <c r="C487" s="2"/>
      <c r="D487" s="35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5.75" customHeight="1" x14ac:dyDescent="0.2">
      <c r="B488" s="2"/>
      <c r="C488" s="2"/>
      <c r="D488" s="35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5.75" customHeight="1" x14ac:dyDescent="0.2">
      <c r="B489" s="2"/>
      <c r="C489" s="2"/>
      <c r="D489" s="35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5.75" customHeight="1" x14ac:dyDescent="0.2">
      <c r="B490" s="2"/>
      <c r="C490" s="2"/>
      <c r="D490" s="35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5.75" customHeight="1" x14ac:dyDescent="0.2">
      <c r="B491" s="2"/>
      <c r="C491" s="2"/>
      <c r="D491" s="35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5.75" customHeight="1" x14ac:dyDescent="0.2">
      <c r="B492" s="2"/>
      <c r="C492" s="2"/>
      <c r="D492" s="35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5.75" customHeight="1" x14ac:dyDescent="0.2">
      <c r="B493" s="2"/>
      <c r="C493" s="2"/>
      <c r="D493" s="35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5.75" customHeight="1" x14ac:dyDescent="0.2">
      <c r="B494" s="2"/>
      <c r="C494" s="2"/>
      <c r="D494" s="35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5.75" customHeight="1" x14ac:dyDescent="0.2">
      <c r="B495" s="2"/>
      <c r="C495" s="2"/>
      <c r="D495" s="35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5.75" customHeight="1" x14ac:dyDescent="0.2">
      <c r="B496" s="2"/>
      <c r="C496" s="2"/>
      <c r="D496" s="35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5.75" customHeight="1" x14ac:dyDescent="0.2">
      <c r="B497" s="2"/>
      <c r="C497" s="2"/>
      <c r="D497" s="35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5.75" customHeight="1" x14ac:dyDescent="0.2">
      <c r="B498" s="2"/>
      <c r="C498" s="2"/>
      <c r="D498" s="35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5.75" customHeight="1" x14ac:dyDescent="0.2">
      <c r="B499" s="2"/>
      <c r="C499" s="2"/>
      <c r="D499" s="35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5.75" customHeight="1" x14ac:dyDescent="0.2">
      <c r="B500" s="2"/>
      <c r="C500" s="2"/>
      <c r="D500" s="35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5.75" customHeight="1" x14ac:dyDescent="0.2">
      <c r="B501" s="2"/>
      <c r="C501" s="2"/>
      <c r="D501" s="35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5.75" customHeight="1" x14ac:dyDescent="0.2">
      <c r="B502" s="2"/>
      <c r="C502" s="2"/>
      <c r="D502" s="35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5.75" customHeight="1" x14ac:dyDescent="0.2">
      <c r="B503" s="2"/>
      <c r="C503" s="2"/>
      <c r="D503" s="35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5.75" customHeight="1" x14ac:dyDescent="0.2">
      <c r="B504" s="2"/>
      <c r="C504" s="2"/>
      <c r="D504" s="35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5.75" customHeight="1" x14ac:dyDescent="0.2">
      <c r="B505" s="2"/>
      <c r="C505" s="2"/>
      <c r="D505" s="35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5.75" customHeight="1" x14ac:dyDescent="0.2">
      <c r="B506" s="2"/>
      <c r="C506" s="2"/>
      <c r="D506" s="35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5.75" customHeight="1" x14ac:dyDescent="0.2">
      <c r="B507" s="2"/>
      <c r="C507" s="2"/>
      <c r="D507" s="35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5.75" customHeight="1" x14ac:dyDescent="0.2">
      <c r="B508" s="2"/>
      <c r="C508" s="2"/>
      <c r="D508" s="35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5.75" customHeight="1" x14ac:dyDescent="0.2">
      <c r="B509" s="2"/>
      <c r="C509" s="2"/>
      <c r="D509" s="35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5.75" customHeight="1" x14ac:dyDescent="0.2">
      <c r="B510" s="2"/>
      <c r="C510" s="2"/>
      <c r="D510" s="35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5.75" customHeight="1" x14ac:dyDescent="0.2">
      <c r="B511" s="2"/>
      <c r="C511" s="2"/>
      <c r="D511" s="35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5.75" customHeight="1" x14ac:dyDescent="0.2">
      <c r="B512" s="2"/>
      <c r="C512" s="2"/>
      <c r="D512" s="35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5.75" customHeight="1" x14ac:dyDescent="0.2">
      <c r="B513" s="2"/>
      <c r="C513" s="2"/>
      <c r="D513" s="35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5.75" customHeight="1" x14ac:dyDescent="0.2">
      <c r="B514" s="2"/>
      <c r="C514" s="2"/>
      <c r="D514" s="35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5.75" customHeight="1" x14ac:dyDescent="0.2">
      <c r="B515" s="2"/>
      <c r="C515" s="2"/>
      <c r="D515" s="35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5.75" customHeight="1" x14ac:dyDescent="0.2">
      <c r="B516" s="2"/>
      <c r="C516" s="2"/>
      <c r="D516" s="35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5.75" customHeight="1" x14ac:dyDescent="0.2">
      <c r="B517" s="2"/>
      <c r="C517" s="2"/>
      <c r="D517" s="35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5.75" customHeight="1" x14ac:dyDescent="0.2">
      <c r="B518" s="2"/>
      <c r="C518" s="2"/>
      <c r="D518" s="35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5.75" customHeight="1" x14ac:dyDescent="0.2">
      <c r="B519" s="2"/>
      <c r="C519" s="2"/>
      <c r="D519" s="35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5.75" customHeight="1" x14ac:dyDescent="0.2">
      <c r="B520" s="2"/>
      <c r="C520" s="2"/>
      <c r="D520" s="35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5.75" customHeight="1" x14ac:dyDescent="0.2">
      <c r="B521" s="2"/>
      <c r="C521" s="2"/>
      <c r="D521" s="35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5.75" customHeight="1" x14ac:dyDescent="0.2">
      <c r="B522" s="2"/>
      <c r="C522" s="2"/>
      <c r="D522" s="35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5.75" customHeight="1" x14ac:dyDescent="0.2">
      <c r="B523" s="2"/>
      <c r="C523" s="2"/>
      <c r="D523" s="35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5.75" customHeight="1" x14ac:dyDescent="0.2">
      <c r="B524" s="2"/>
      <c r="C524" s="2"/>
      <c r="D524" s="35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5.75" customHeight="1" x14ac:dyDescent="0.2">
      <c r="B525" s="2"/>
      <c r="C525" s="2"/>
      <c r="D525" s="35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5.75" customHeight="1" x14ac:dyDescent="0.2">
      <c r="B526" s="2"/>
      <c r="C526" s="2"/>
      <c r="D526" s="35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5.75" customHeight="1" x14ac:dyDescent="0.2">
      <c r="B527" s="2"/>
      <c r="C527" s="2"/>
      <c r="D527" s="35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5.75" customHeight="1" x14ac:dyDescent="0.2">
      <c r="B528" s="2"/>
      <c r="C528" s="2"/>
      <c r="D528" s="35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5.75" customHeight="1" x14ac:dyDescent="0.2">
      <c r="B529" s="2"/>
      <c r="C529" s="2"/>
      <c r="D529" s="35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5.75" customHeight="1" x14ac:dyDescent="0.2">
      <c r="B530" s="2"/>
      <c r="C530" s="2"/>
      <c r="D530" s="35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5.75" customHeight="1" x14ac:dyDescent="0.2">
      <c r="B531" s="2"/>
      <c r="C531" s="2"/>
      <c r="D531" s="35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5.75" customHeight="1" x14ac:dyDescent="0.2">
      <c r="B532" s="2"/>
      <c r="C532" s="2"/>
      <c r="D532" s="35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5.75" customHeight="1" x14ac:dyDescent="0.2">
      <c r="B533" s="2"/>
      <c r="C533" s="2"/>
      <c r="D533" s="35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5.75" customHeight="1" x14ac:dyDescent="0.2">
      <c r="B534" s="2"/>
      <c r="C534" s="2"/>
      <c r="D534" s="35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5.75" customHeight="1" x14ac:dyDescent="0.2">
      <c r="B535" s="2"/>
      <c r="C535" s="2"/>
      <c r="D535" s="35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5.75" customHeight="1" x14ac:dyDescent="0.2">
      <c r="B536" s="2"/>
      <c r="C536" s="2"/>
      <c r="D536" s="35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5.75" customHeight="1" x14ac:dyDescent="0.2">
      <c r="B537" s="2"/>
      <c r="C537" s="2"/>
      <c r="D537" s="35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5.75" customHeight="1" x14ac:dyDescent="0.2">
      <c r="B538" s="2"/>
      <c r="C538" s="2"/>
      <c r="D538" s="35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5.75" customHeight="1" x14ac:dyDescent="0.2">
      <c r="B539" s="2"/>
      <c r="C539" s="2"/>
      <c r="D539" s="35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5.75" customHeight="1" x14ac:dyDescent="0.2">
      <c r="B540" s="2"/>
      <c r="C540" s="2"/>
      <c r="D540" s="35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5.75" customHeight="1" x14ac:dyDescent="0.2">
      <c r="B541" s="2"/>
      <c r="C541" s="2"/>
      <c r="D541" s="35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5.75" customHeight="1" x14ac:dyDescent="0.2">
      <c r="B542" s="2"/>
      <c r="C542" s="2"/>
      <c r="D542" s="35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5.75" customHeight="1" x14ac:dyDescent="0.2">
      <c r="B543" s="2"/>
      <c r="C543" s="2"/>
      <c r="D543" s="35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5.75" customHeight="1" x14ac:dyDescent="0.2">
      <c r="B544" s="2"/>
      <c r="C544" s="2"/>
      <c r="D544" s="35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5.75" customHeight="1" x14ac:dyDescent="0.2">
      <c r="B545" s="2"/>
      <c r="C545" s="2"/>
      <c r="D545" s="35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5.75" customHeight="1" x14ac:dyDescent="0.2">
      <c r="B546" s="2"/>
      <c r="C546" s="2"/>
      <c r="D546" s="35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5.75" customHeight="1" x14ac:dyDescent="0.2">
      <c r="B547" s="2"/>
      <c r="C547" s="2"/>
      <c r="D547" s="35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5.75" customHeight="1" x14ac:dyDescent="0.2">
      <c r="B548" s="2"/>
      <c r="C548" s="2"/>
      <c r="D548" s="35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5.75" customHeight="1" x14ac:dyDescent="0.2">
      <c r="B549" s="2"/>
      <c r="C549" s="2"/>
      <c r="D549" s="35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5.75" customHeight="1" x14ac:dyDescent="0.2">
      <c r="B550" s="2"/>
      <c r="C550" s="2"/>
      <c r="D550" s="35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5.75" customHeight="1" x14ac:dyDescent="0.2">
      <c r="B551" s="2"/>
      <c r="C551" s="2"/>
      <c r="D551" s="35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5.75" customHeight="1" x14ac:dyDescent="0.2">
      <c r="B552" s="2"/>
      <c r="C552" s="2"/>
      <c r="D552" s="35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5.75" customHeight="1" x14ac:dyDescent="0.2">
      <c r="B553" s="2"/>
      <c r="C553" s="2"/>
      <c r="D553" s="35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5.75" customHeight="1" x14ac:dyDescent="0.2">
      <c r="B554" s="2"/>
      <c r="C554" s="2"/>
      <c r="D554" s="35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5.75" customHeight="1" x14ac:dyDescent="0.2">
      <c r="B555" s="2"/>
      <c r="C555" s="2"/>
      <c r="D555" s="35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5.75" customHeight="1" x14ac:dyDescent="0.2">
      <c r="B556" s="2"/>
      <c r="C556" s="2"/>
      <c r="D556" s="35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5.75" customHeight="1" x14ac:dyDescent="0.2">
      <c r="B557" s="2"/>
      <c r="C557" s="2"/>
      <c r="D557" s="35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5.75" customHeight="1" x14ac:dyDescent="0.2">
      <c r="B558" s="2"/>
      <c r="C558" s="2"/>
      <c r="D558" s="35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5.75" customHeight="1" x14ac:dyDescent="0.2">
      <c r="B559" s="2"/>
      <c r="C559" s="2"/>
      <c r="D559" s="35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5.75" customHeight="1" x14ac:dyDescent="0.2">
      <c r="B560" s="2"/>
      <c r="C560" s="2"/>
      <c r="D560" s="35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5.75" customHeight="1" x14ac:dyDescent="0.2">
      <c r="B561" s="2"/>
      <c r="C561" s="2"/>
      <c r="D561" s="35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5.75" customHeight="1" x14ac:dyDescent="0.2">
      <c r="B562" s="2"/>
      <c r="C562" s="2"/>
      <c r="D562" s="35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5.75" customHeight="1" x14ac:dyDescent="0.2">
      <c r="B563" s="2"/>
      <c r="C563" s="2"/>
      <c r="D563" s="35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5.75" customHeight="1" x14ac:dyDescent="0.2">
      <c r="B564" s="2"/>
      <c r="C564" s="2"/>
      <c r="D564" s="35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5.75" customHeight="1" x14ac:dyDescent="0.2">
      <c r="B565" s="2"/>
      <c r="C565" s="2"/>
      <c r="D565" s="35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5.75" customHeight="1" x14ac:dyDescent="0.2">
      <c r="B566" s="2"/>
      <c r="C566" s="2"/>
      <c r="D566" s="35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5.75" customHeight="1" x14ac:dyDescent="0.2">
      <c r="B567" s="2"/>
      <c r="C567" s="2"/>
      <c r="D567" s="35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5.75" customHeight="1" x14ac:dyDescent="0.2">
      <c r="B568" s="2"/>
      <c r="C568" s="2"/>
      <c r="D568" s="35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5.75" customHeight="1" x14ac:dyDescent="0.2">
      <c r="B569" s="2"/>
      <c r="C569" s="2"/>
      <c r="D569" s="35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5.75" customHeight="1" x14ac:dyDescent="0.2">
      <c r="B570" s="2"/>
      <c r="C570" s="2"/>
      <c r="D570" s="35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5.75" customHeight="1" x14ac:dyDescent="0.2">
      <c r="B571" s="2"/>
      <c r="C571" s="2"/>
      <c r="D571" s="35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5.75" customHeight="1" x14ac:dyDescent="0.2">
      <c r="B572" s="2"/>
      <c r="C572" s="2"/>
      <c r="D572" s="35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5.75" customHeight="1" x14ac:dyDescent="0.2">
      <c r="B573" s="2"/>
      <c r="C573" s="2"/>
      <c r="D573" s="35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5.75" customHeight="1" x14ac:dyDescent="0.2">
      <c r="B574" s="2"/>
      <c r="C574" s="2"/>
      <c r="D574" s="35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5.75" customHeight="1" x14ac:dyDescent="0.2">
      <c r="B575" s="2"/>
      <c r="C575" s="2"/>
      <c r="D575" s="35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5.75" customHeight="1" x14ac:dyDescent="0.2">
      <c r="B576" s="2"/>
      <c r="C576" s="2"/>
      <c r="D576" s="35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5.75" customHeight="1" x14ac:dyDescent="0.2">
      <c r="B577" s="2"/>
      <c r="C577" s="2"/>
      <c r="D577" s="35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5.75" customHeight="1" x14ac:dyDescent="0.2">
      <c r="B578" s="2"/>
      <c r="C578" s="2"/>
      <c r="D578" s="35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5.75" customHeight="1" x14ac:dyDescent="0.2">
      <c r="B579" s="2"/>
      <c r="C579" s="2"/>
      <c r="D579" s="35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5.75" customHeight="1" x14ac:dyDescent="0.2">
      <c r="B580" s="2"/>
      <c r="C580" s="2"/>
      <c r="D580" s="35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5.75" customHeight="1" x14ac:dyDescent="0.2">
      <c r="B581" s="2"/>
      <c r="C581" s="2"/>
      <c r="D581" s="35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5.75" customHeight="1" x14ac:dyDescent="0.2">
      <c r="B582" s="2"/>
      <c r="C582" s="2"/>
      <c r="D582" s="35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5.75" customHeight="1" x14ac:dyDescent="0.2">
      <c r="B583" s="2"/>
      <c r="C583" s="2"/>
      <c r="D583" s="35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5.75" customHeight="1" x14ac:dyDescent="0.2">
      <c r="B584" s="2"/>
      <c r="C584" s="2"/>
      <c r="D584" s="35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5.75" customHeight="1" x14ac:dyDescent="0.2">
      <c r="B585" s="2"/>
      <c r="C585" s="2"/>
      <c r="D585" s="35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5.75" customHeight="1" x14ac:dyDescent="0.2">
      <c r="B586" s="2"/>
      <c r="C586" s="2"/>
      <c r="D586" s="35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5.75" customHeight="1" x14ac:dyDescent="0.2">
      <c r="B587" s="2"/>
      <c r="C587" s="2"/>
      <c r="D587" s="35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5.75" customHeight="1" x14ac:dyDescent="0.2">
      <c r="B588" s="2"/>
      <c r="C588" s="2"/>
      <c r="D588" s="35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5.75" customHeight="1" x14ac:dyDescent="0.2">
      <c r="B589" s="2"/>
      <c r="C589" s="2"/>
      <c r="D589" s="35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5.75" customHeight="1" x14ac:dyDescent="0.2">
      <c r="B590" s="2"/>
      <c r="C590" s="2"/>
      <c r="D590" s="35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5.75" customHeight="1" x14ac:dyDescent="0.2">
      <c r="B591" s="2"/>
      <c r="C591" s="2"/>
      <c r="D591" s="35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5.75" customHeight="1" x14ac:dyDescent="0.2">
      <c r="B592" s="2"/>
      <c r="C592" s="2"/>
      <c r="D592" s="35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5.75" customHeight="1" x14ac:dyDescent="0.2">
      <c r="B593" s="2"/>
      <c r="C593" s="2"/>
      <c r="D593" s="35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5.75" customHeight="1" x14ac:dyDescent="0.2">
      <c r="B594" s="2"/>
      <c r="C594" s="2"/>
      <c r="D594" s="35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5.75" customHeight="1" x14ac:dyDescent="0.2">
      <c r="B595" s="2"/>
      <c r="C595" s="2"/>
      <c r="D595" s="35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5.75" customHeight="1" x14ac:dyDescent="0.2">
      <c r="B596" s="2"/>
      <c r="C596" s="2"/>
      <c r="D596" s="35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5.75" customHeight="1" x14ac:dyDescent="0.2">
      <c r="B597" s="2"/>
      <c r="C597" s="2"/>
      <c r="D597" s="35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5.75" customHeight="1" x14ac:dyDescent="0.2">
      <c r="B598" s="2"/>
      <c r="C598" s="2"/>
      <c r="D598" s="35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5.75" customHeight="1" x14ac:dyDescent="0.2">
      <c r="B599" s="2"/>
      <c r="C599" s="2"/>
      <c r="D599" s="35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5.75" customHeight="1" x14ac:dyDescent="0.2">
      <c r="B600" s="2"/>
      <c r="C600" s="2"/>
      <c r="D600" s="35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5.75" customHeight="1" x14ac:dyDescent="0.2">
      <c r="B601" s="2"/>
      <c r="C601" s="2"/>
      <c r="D601" s="35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5.75" customHeight="1" x14ac:dyDescent="0.2">
      <c r="B602" s="2"/>
      <c r="C602" s="2"/>
      <c r="D602" s="35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5.75" customHeight="1" x14ac:dyDescent="0.2">
      <c r="B603" s="2"/>
      <c r="C603" s="2"/>
      <c r="D603" s="35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5.75" customHeight="1" x14ac:dyDescent="0.2">
      <c r="B604" s="2"/>
      <c r="C604" s="2"/>
      <c r="D604" s="35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5.75" customHeight="1" x14ac:dyDescent="0.2">
      <c r="B605" s="2"/>
      <c r="C605" s="2"/>
      <c r="D605" s="35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5.75" customHeight="1" x14ac:dyDescent="0.2">
      <c r="B606" s="2"/>
      <c r="C606" s="2"/>
      <c r="D606" s="35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5.75" customHeight="1" x14ac:dyDescent="0.2">
      <c r="B607" s="2"/>
      <c r="C607" s="2"/>
      <c r="D607" s="35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5.75" customHeight="1" x14ac:dyDescent="0.2">
      <c r="B608" s="2"/>
      <c r="C608" s="2"/>
      <c r="D608" s="35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5.75" customHeight="1" x14ac:dyDescent="0.2">
      <c r="B609" s="2"/>
      <c r="C609" s="2"/>
      <c r="D609" s="35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5.75" customHeight="1" x14ac:dyDescent="0.2">
      <c r="B610" s="2"/>
      <c r="C610" s="2"/>
      <c r="D610" s="35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5.75" customHeight="1" x14ac:dyDescent="0.2">
      <c r="B611" s="2"/>
      <c r="C611" s="2"/>
      <c r="D611" s="35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5.75" customHeight="1" x14ac:dyDescent="0.2">
      <c r="B612" s="2"/>
      <c r="C612" s="2"/>
      <c r="D612" s="35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5.75" customHeight="1" x14ac:dyDescent="0.2">
      <c r="B613" s="2"/>
      <c r="C613" s="2"/>
      <c r="D613" s="35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5.75" customHeight="1" x14ac:dyDescent="0.2">
      <c r="B614" s="2"/>
      <c r="C614" s="2"/>
      <c r="D614" s="35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5.75" customHeight="1" x14ac:dyDescent="0.2">
      <c r="B615" s="2"/>
      <c r="C615" s="2"/>
      <c r="D615" s="35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5.75" customHeight="1" x14ac:dyDescent="0.2">
      <c r="B616" s="2"/>
      <c r="C616" s="2"/>
      <c r="D616" s="35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5.75" customHeight="1" x14ac:dyDescent="0.2">
      <c r="B617" s="2"/>
      <c r="C617" s="2"/>
      <c r="D617" s="35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5.75" customHeight="1" x14ac:dyDescent="0.2">
      <c r="B618" s="2"/>
      <c r="C618" s="2"/>
      <c r="D618" s="35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5.75" customHeight="1" x14ac:dyDescent="0.2">
      <c r="B619" s="2"/>
      <c r="C619" s="2"/>
      <c r="D619" s="35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5.75" customHeight="1" x14ac:dyDescent="0.2">
      <c r="B620" s="2"/>
      <c r="C620" s="2"/>
      <c r="D620" s="35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5.75" customHeight="1" x14ac:dyDescent="0.2">
      <c r="B621" s="2"/>
      <c r="C621" s="2"/>
      <c r="D621" s="35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5.75" customHeight="1" x14ac:dyDescent="0.2">
      <c r="B622" s="2"/>
      <c r="C622" s="2"/>
      <c r="D622" s="35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5.75" customHeight="1" x14ac:dyDescent="0.2">
      <c r="B623" s="2"/>
      <c r="C623" s="2"/>
      <c r="D623" s="35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5.75" customHeight="1" x14ac:dyDescent="0.2">
      <c r="B624" s="2"/>
      <c r="C624" s="2"/>
      <c r="D624" s="35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5.75" customHeight="1" x14ac:dyDescent="0.2">
      <c r="B625" s="2"/>
      <c r="C625" s="2"/>
      <c r="D625" s="35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5.75" customHeight="1" x14ac:dyDescent="0.2">
      <c r="B626" s="2"/>
      <c r="C626" s="2"/>
      <c r="D626" s="35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5.75" customHeight="1" x14ac:dyDescent="0.2">
      <c r="B627" s="2"/>
      <c r="C627" s="2"/>
      <c r="D627" s="35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5.75" customHeight="1" x14ac:dyDescent="0.2">
      <c r="B628" s="2"/>
      <c r="C628" s="2"/>
      <c r="D628" s="35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5.75" customHeight="1" x14ac:dyDescent="0.2">
      <c r="B629" s="2"/>
      <c r="C629" s="2"/>
      <c r="D629" s="35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5.75" customHeight="1" x14ac:dyDescent="0.2">
      <c r="B630" s="2"/>
      <c r="C630" s="2"/>
      <c r="D630" s="35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5.75" customHeight="1" x14ac:dyDescent="0.2">
      <c r="B631" s="2"/>
      <c r="C631" s="2"/>
      <c r="D631" s="35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5.75" customHeight="1" x14ac:dyDescent="0.2">
      <c r="B632" s="2"/>
      <c r="C632" s="2"/>
      <c r="D632" s="35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5.75" customHeight="1" x14ac:dyDescent="0.2">
      <c r="B633" s="2"/>
      <c r="C633" s="2"/>
      <c r="D633" s="35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5.75" customHeight="1" x14ac:dyDescent="0.2">
      <c r="B634" s="2"/>
      <c r="C634" s="2"/>
      <c r="D634" s="35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5.75" customHeight="1" x14ac:dyDescent="0.2">
      <c r="B635" s="2"/>
      <c r="C635" s="2"/>
      <c r="D635" s="35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5.75" customHeight="1" x14ac:dyDescent="0.2">
      <c r="B636" s="2"/>
      <c r="C636" s="2"/>
      <c r="D636" s="35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5.75" customHeight="1" x14ac:dyDescent="0.2">
      <c r="B637" s="2"/>
      <c r="C637" s="2"/>
      <c r="D637" s="35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5.75" customHeight="1" x14ac:dyDescent="0.2">
      <c r="B638" s="2"/>
      <c r="C638" s="2"/>
      <c r="D638" s="35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5.75" customHeight="1" x14ac:dyDescent="0.2">
      <c r="B639" s="2"/>
      <c r="C639" s="2"/>
      <c r="D639" s="35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5.75" customHeight="1" x14ac:dyDescent="0.2">
      <c r="B640" s="2"/>
      <c r="C640" s="2"/>
      <c r="D640" s="35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5.75" customHeight="1" x14ac:dyDescent="0.2">
      <c r="B641" s="2"/>
      <c r="C641" s="2"/>
      <c r="D641" s="35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5.75" customHeight="1" x14ac:dyDescent="0.2">
      <c r="B642" s="2"/>
      <c r="C642" s="2"/>
      <c r="D642" s="35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5.75" customHeight="1" x14ac:dyDescent="0.2">
      <c r="B643" s="2"/>
      <c r="C643" s="2"/>
      <c r="D643" s="35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5.75" customHeight="1" x14ac:dyDescent="0.2">
      <c r="B644" s="2"/>
      <c r="C644" s="2"/>
      <c r="D644" s="35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5.75" customHeight="1" x14ac:dyDescent="0.2">
      <c r="B645" s="2"/>
      <c r="C645" s="2"/>
      <c r="D645" s="35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5.75" customHeight="1" x14ac:dyDescent="0.2">
      <c r="B646" s="2"/>
      <c r="C646" s="2"/>
      <c r="D646" s="35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5.75" customHeight="1" x14ac:dyDescent="0.2">
      <c r="B647" s="2"/>
      <c r="C647" s="2"/>
      <c r="D647" s="35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5.75" customHeight="1" x14ac:dyDescent="0.2">
      <c r="B648" s="2"/>
      <c r="C648" s="2"/>
      <c r="D648" s="35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5.75" customHeight="1" x14ac:dyDescent="0.2">
      <c r="B649" s="2"/>
      <c r="C649" s="2"/>
      <c r="D649" s="35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5.75" customHeight="1" x14ac:dyDescent="0.2">
      <c r="B650" s="2"/>
      <c r="C650" s="2"/>
      <c r="D650" s="35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5.75" customHeight="1" x14ac:dyDescent="0.2">
      <c r="B651" s="2"/>
      <c r="C651" s="2"/>
      <c r="D651" s="35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5.75" customHeight="1" x14ac:dyDescent="0.2">
      <c r="B652" s="2"/>
      <c r="C652" s="2"/>
      <c r="D652" s="35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5.75" customHeight="1" x14ac:dyDescent="0.2">
      <c r="B653" s="2"/>
      <c r="C653" s="2"/>
      <c r="D653" s="35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5.75" customHeight="1" x14ac:dyDescent="0.2">
      <c r="B654" s="2"/>
      <c r="C654" s="2"/>
      <c r="D654" s="35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5.75" customHeight="1" x14ac:dyDescent="0.2">
      <c r="B655" s="2"/>
      <c r="C655" s="2"/>
      <c r="D655" s="35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5.75" customHeight="1" x14ac:dyDescent="0.2">
      <c r="B656" s="2"/>
      <c r="C656" s="2"/>
      <c r="D656" s="35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5.75" customHeight="1" x14ac:dyDescent="0.2">
      <c r="B657" s="2"/>
      <c r="C657" s="2"/>
      <c r="D657" s="35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5.75" customHeight="1" x14ac:dyDescent="0.2">
      <c r="B658" s="2"/>
      <c r="C658" s="2"/>
      <c r="D658" s="35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5.75" customHeight="1" x14ac:dyDescent="0.2">
      <c r="B659" s="2"/>
      <c r="C659" s="2"/>
      <c r="D659" s="35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5.75" customHeight="1" x14ac:dyDescent="0.2">
      <c r="B660" s="2"/>
      <c r="C660" s="2"/>
      <c r="D660" s="35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5.75" customHeight="1" x14ac:dyDescent="0.2">
      <c r="B661" s="2"/>
      <c r="C661" s="2"/>
      <c r="D661" s="35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5.75" customHeight="1" x14ac:dyDescent="0.2">
      <c r="B662" s="2"/>
      <c r="C662" s="2"/>
      <c r="D662" s="35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5.75" customHeight="1" x14ac:dyDescent="0.2">
      <c r="B663" s="2"/>
      <c r="C663" s="2"/>
      <c r="D663" s="35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5.75" customHeight="1" x14ac:dyDescent="0.2">
      <c r="B664" s="2"/>
      <c r="C664" s="2"/>
      <c r="D664" s="35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5.75" customHeight="1" x14ac:dyDescent="0.2">
      <c r="B665" s="2"/>
      <c r="C665" s="2"/>
      <c r="D665" s="35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5.75" customHeight="1" x14ac:dyDescent="0.2">
      <c r="B666" s="2"/>
      <c r="C666" s="2"/>
      <c r="D666" s="35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5.75" customHeight="1" x14ac:dyDescent="0.2">
      <c r="B667" s="2"/>
      <c r="C667" s="2"/>
      <c r="D667" s="35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5.75" customHeight="1" x14ac:dyDescent="0.2">
      <c r="B668" s="2"/>
      <c r="C668" s="2"/>
      <c r="D668" s="35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5.75" customHeight="1" x14ac:dyDescent="0.2">
      <c r="B669" s="2"/>
      <c r="C669" s="2"/>
      <c r="D669" s="35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5.75" customHeight="1" x14ac:dyDescent="0.2">
      <c r="B670" s="2"/>
      <c r="C670" s="2"/>
      <c r="D670" s="35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5.75" customHeight="1" x14ac:dyDescent="0.2">
      <c r="B671" s="2"/>
      <c r="C671" s="2"/>
      <c r="D671" s="35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5.75" customHeight="1" x14ac:dyDescent="0.2">
      <c r="B672" s="2"/>
      <c r="C672" s="2"/>
      <c r="D672" s="35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5.75" customHeight="1" x14ac:dyDescent="0.2">
      <c r="B673" s="2"/>
      <c r="C673" s="2"/>
      <c r="D673" s="35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5.75" customHeight="1" x14ac:dyDescent="0.2">
      <c r="B674" s="2"/>
      <c r="C674" s="2"/>
      <c r="D674" s="35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5.75" customHeight="1" x14ac:dyDescent="0.2">
      <c r="B675" s="2"/>
      <c r="C675" s="2"/>
      <c r="D675" s="35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5.75" customHeight="1" x14ac:dyDescent="0.2">
      <c r="B676" s="2"/>
      <c r="C676" s="2"/>
      <c r="D676" s="35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5.75" customHeight="1" x14ac:dyDescent="0.2">
      <c r="B677" s="2"/>
      <c r="C677" s="2"/>
      <c r="D677" s="35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5.75" customHeight="1" x14ac:dyDescent="0.2">
      <c r="B678" s="2"/>
      <c r="C678" s="2"/>
      <c r="D678" s="35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5.75" customHeight="1" x14ac:dyDescent="0.2">
      <c r="B679" s="2"/>
      <c r="C679" s="2"/>
      <c r="D679" s="35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5.75" customHeight="1" x14ac:dyDescent="0.2">
      <c r="B680" s="2"/>
      <c r="C680" s="2"/>
      <c r="D680" s="35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5.75" customHeight="1" x14ac:dyDescent="0.2">
      <c r="B681" s="2"/>
      <c r="C681" s="2"/>
      <c r="D681" s="35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5.75" customHeight="1" x14ac:dyDescent="0.2">
      <c r="B682" s="2"/>
      <c r="C682" s="2"/>
      <c r="D682" s="35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5.75" customHeight="1" x14ac:dyDescent="0.2">
      <c r="B683" s="2"/>
      <c r="C683" s="2"/>
      <c r="D683" s="35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5.75" customHeight="1" x14ac:dyDescent="0.2">
      <c r="B684" s="2"/>
      <c r="C684" s="2"/>
      <c r="D684" s="35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5.75" customHeight="1" x14ac:dyDescent="0.2">
      <c r="B685" s="2"/>
      <c r="C685" s="2"/>
      <c r="D685" s="35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5.75" customHeight="1" x14ac:dyDescent="0.2">
      <c r="B686" s="2"/>
      <c r="C686" s="2"/>
      <c r="D686" s="35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5.75" customHeight="1" x14ac:dyDescent="0.2">
      <c r="B687" s="2"/>
      <c r="C687" s="2"/>
      <c r="D687" s="35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5.75" customHeight="1" x14ac:dyDescent="0.2">
      <c r="B688" s="2"/>
      <c r="C688" s="2"/>
      <c r="D688" s="35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5.75" customHeight="1" x14ac:dyDescent="0.2">
      <c r="B689" s="2"/>
      <c r="C689" s="2"/>
      <c r="D689" s="35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5.75" customHeight="1" x14ac:dyDescent="0.2">
      <c r="B690" s="2"/>
      <c r="C690" s="2"/>
      <c r="D690" s="35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5.75" customHeight="1" x14ac:dyDescent="0.2">
      <c r="B691" s="2"/>
      <c r="C691" s="2"/>
      <c r="D691" s="35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5.75" customHeight="1" x14ac:dyDescent="0.2">
      <c r="B692" s="2"/>
      <c r="C692" s="2"/>
      <c r="D692" s="35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5.75" customHeight="1" x14ac:dyDescent="0.2">
      <c r="B693" s="2"/>
      <c r="C693" s="2"/>
      <c r="D693" s="35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5.75" customHeight="1" x14ac:dyDescent="0.2">
      <c r="B694" s="2"/>
      <c r="C694" s="2"/>
      <c r="D694" s="35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5.75" customHeight="1" x14ac:dyDescent="0.2">
      <c r="B695" s="2"/>
      <c r="C695" s="2"/>
      <c r="D695" s="35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5.75" customHeight="1" x14ac:dyDescent="0.2">
      <c r="B696" s="2"/>
      <c r="C696" s="2"/>
      <c r="D696" s="35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5.75" customHeight="1" x14ac:dyDescent="0.2">
      <c r="B697" s="2"/>
      <c r="C697" s="2"/>
      <c r="D697" s="35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5.75" customHeight="1" x14ac:dyDescent="0.2">
      <c r="B698" s="2"/>
      <c r="C698" s="2"/>
      <c r="D698" s="35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5.75" customHeight="1" x14ac:dyDescent="0.2">
      <c r="B699" s="2"/>
      <c r="C699" s="2"/>
      <c r="D699" s="35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5.75" customHeight="1" x14ac:dyDescent="0.2">
      <c r="B700" s="2"/>
      <c r="C700" s="2"/>
      <c r="D700" s="35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5.75" customHeight="1" x14ac:dyDescent="0.2">
      <c r="B701" s="2"/>
      <c r="C701" s="2"/>
      <c r="D701" s="35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5.75" customHeight="1" x14ac:dyDescent="0.2">
      <c r="B702" s="2"/>
      <c r="C702" s="2"/>
      <c r="D702" s="35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5.75" customHeight="1" x14ac:dyDescent="0.2">
      <c r="B703" s="2"/>
      <c r="C703" s="2"/>
      <c r="D703" s="35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5.75" customHeight="1" x14ac:dyDescent="0.2">
      <c r="B704" s="2"/>
      <c r="C704" s="2"/>
      <c r="D704" s="35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5.75" customHeight="1" x14ac:dyDescent="0.2">
      <c r="B705" s="2"/>
      <c r="C705" s="2"/>
      <c r="D705" s="35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5.75" customHeight="1" x14ac:dyDescent="0.2">
      <c r="B706" s="2"/>
      <c r="C706" s="2"/>
      <c r="D706" s="35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5.75" customHeight="1" x14ac:dyDescent="0.2">
      <c r="B707" s="2"/>
      <c r="C707" s="2"/>
      <c r="D707" s="35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5.75" customHeight="1" x14ac:dyDescent="0.2">
      <c r="B708" s="2"/>
      <c r="C708" s="2"/>
      <c r="D708" s="35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5.75" customHeight="1" x14ac:dyDescent="0.2">
      <c r="B709" s="2"/>
      <c r="C709" s="2"/>
      <c r="D709" s="35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5.75" customHeight="1" x14ac:dyDescent="0.2">
      <c r="B710" s="2"/>
      <c r="C710" s="2"/>
      <c r="D710" s="35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5.75" customHeight="1" x14ac:dyDescent="0.2">
      <c r="B711" s="2"/>
      <c r="C711" s="2"/>
      <c r="D711" s="35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5.75" customHeight="1" x14ac:dyDescent="0.2">
      <c r="B712" s="2"/>
      <c r="C712" s="2"/>
      <c r="D712" s="35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5.75" customHeight="1" x14ac:dyDescent="0.2">
      <c r="B713" s="2"/>
      <c r="C713" s="2"/>
      <c r="D713" s="35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5.75" customHeight="1" x14ac:dyDescent="0.2">
      <c r="B714" s="2"/>
      <c r="C714" s="2"/>
      <c r="D714" s="35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5.75" customHeight="1" x14ac:dyDescent="0.2">
      <c r="B715" s="2"/>
      <c r="C715" s="2"/>
      <c r="D715" s="35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5.75" customHeight="1" x14ac:dyDescent="0.2">
      <c r="B716" s="2"/>
      <c r="C716" s="2"/>
      <c r="D716" s="35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5.75" customHeight="1" x14ac:dyDescent="0.2">
      <c r="B717" s="2"/>
      <c r="C717" s="2"/>
      <c r="D717" s="35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5.75" customHeight="1" x14ac:dyDescent="0.2">
      <c r="B718" s="2"/>
      <c r="C718" s="2"/>
      <c r="D718" s="35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5.75" customHeight="1" x14ac:dyDescent="0.2">
      <c r="B719" s="2"/>
      <c r="C719" s="2"/>
      <c r="D719" s="35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5.75" customHeight="1" x14ac:dyDescent="0.2">
      <c r="B720" s="2"/>
      <c r="C720" s="2"/>
      <c r="D720" s="35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5.75" customHeight="1" x14ac:dyDescent="0.2">
      <c r="B721" s="2"/>
      <c r="C721" s="2"/>
      <c r="D721" s="35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5.75" customHeight="1" x14ac:dyDescent="0.2">
      <c r="B722" s="2"/>
      <c r="C722" s="2"/>
      <c r="D722" s="35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5.75" customHeight="1" x14ac:dyDescent="0.2">
      <c r="B723" s="2"/>
      <c r="C723" s="2"/>
      <c r="D723" s="35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5.75" customHeight="1" x14ac:dyDescent="0.2">
      <c r="B724" s="2"/>
      <c r="C724" s="2"/>
      <c r="D724" s="35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5.75" customHeight="1" x14ac:dyDescent="0.2">
      <c r="B725" s="2"/>
      <c r="C725" s="2"/>
      <c r="D725" s="35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5.75" customHeight="1" x14ac:dyDescent="0.2">
      <c r="B726" s="2"/>
      <c r="C726" s="2"/>
      <c r="D726" s="35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5.75" customHeight="1" x14ac:dyDescent="0.2">
      <c r="B727" s="2"/>
      <c r="C727" s="2"/>
      <c r="D727" s="35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5.75" customHeight="1" x14ac:dyDescent="0.2">
      <c r="B728" s="2"/>
      <c r="C728" s="2"/>
      <c r="D728" s="35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5.75" customHeight="1" x14ac:dyDescent="0.2">
      <c r="B729" s="2"/>
      <c r="C729" s="2"/>
      <c r="D729" s="35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5.75" customHeight="1" x14ac:dyDescent="0.2">
      <c r="B730" s="2"/>
      <c r="C730" s="2"/>
      <c r="D730" s="35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5.75" customHeight="1" x14ac:dyDescent="0.2">
      <c r="B731" s="2"/>
      <c r="C731" s="2"/>
      <c r="D731" s="35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5.75" customHeight="1" x14ac:dyDescent="0.2">
      <c r="B732" s="2"/>
      <c r="C732" s="2"/>
      <c r="D732" s="35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5.75" customHeight="1" x14ac:dyDescent="0.2">
      <c r="B733" s="2"/>
      <c r="C733" s="2"/>
      <c r="D733" s="35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5.75" customHeight="1" x14ac:dyDescent="0.2">
      <c r="B734" s="2"/>
      <c r="C734" s="2"/>
      <c r="D734" s="35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5.75" customHeight="1" x14ac:dyDescent="0.2">
      <c r="B735" s="2"/>
      <c r="C735" s="2"/>
      <c r="D735" s="35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5.75" customHeight="1" x14ac:dyDescent="0.2">
      <c r="B736" s="2"/>
      <c r="C736" s="2"/>
      <c r="D736" s="35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5.75" customHeight="1" x14ac:dyDescent="0.2">
      <c r="B737" s="2"/>
      <c r="C737" s="2"/>
      <c r="D737" s="35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5.75" customHeight="1" x14ac:dyDescent="0.2">
      <c r="B738" s="2"/>
      <c r="C738" s="2"/>
      <c r="D738" s="35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5.75" customHeight="1" x14ac:dyDescent="0.2">
      <c r="B739" s="2"/>
      <c r="C739" s="2"/>
      <c r="D739" s="35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5.75" customHeight="1" x14ac:dyDescent="0.2">
      <c r="B740" s="2"/>
      <c r="C740" s="2"/>
      <c r="D740" s="35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5.75" customHeight="1" x14ac:dyDescent="0.2">
      <c r="B741" s="2"/>
      <c r="C741" s="2"/>
      <c r="D741" s="35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5.75" customHeight="1" x14ac:dyDescent="0.2">
      <c r="B742" s="2"/>
      <c r="C742" s="2"/>
      <c r="D742" s="35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5.75" customHeight="1" x14ac:dyDescent="0.2">
      <c r="B743" s="2"/>
      <c r="C743" s="2"/>
      <c r="D743" s="35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5.75" customHeight="1" x14ac:dyDescent="0.2">
      <c r="B744" s="2"/>
      <c r="C744" s="2"/>
      <c r="D744" s="35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5.75" customHeight="1" x14ac:dyDescent="0.2">
      <c r="B745" s="2"/>
      <c r="C745" s="2"/>
      <c r="D745" s="35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5.75" customHeight="1" x14ac:dyDescent="0.2">
      <c r="B746" s="2"/>
      <c r="C746" s="2"/>
      <c r="D746" s="35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5.75" customHeight="1" x14ac:dyDescent="0.2">
      <c r="B747" s="2"/>
      <c r="C747" s="2"/>
      <c r="D747" s="35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5.75" customHeight="1" x14ac:dyDescent="0.2">
      <c r="B748" s="2"/>
      <c r="C748" s="2"/>
      <c r="D748" s="35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5.75" customHeight="1" x14ac:dyDescent="0.2">
      <c r="B749" s="2"/>
      <c r="C749" s="2"/>
      <c r="D749" s="35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5.75" customHeight="1" x14ac:dyDescent="0.2">
      <c r="B750" s="2"/>
      <c r="C750" s="2"/>
      <c r="D750" s="35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5.75" customHeight="1" x14ac:dyDescent="0.2">
      <c r="B751" s="2"/>
      <c r="C751" s="2"/>
      <c r="D751" s="35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5.75" customHeight="1" x14ac:dyDescent="0.2">
      <c r="B752" s="2"/>
      <c r="C752" s="2"/>
      <c r="D752" s="35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5.75" customHeight="1" x14ac:dyDescent="0.2">
      <c r="B753" s="2"/>
      <c r="C753" s="2"/>
      <c r="D753" s="35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5.75" customHeight="1" x14ac:dyDescent="0.2">
      <c r="B754" s="2"/>
      <c r="C754" s="2"/>
      <c r="D754" s="35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5.75" customHeight="1" x14ac:dyDescent="0.2">
      <c r="B755" s="2"/>
      <c r="C755" s="2"/>
      <c r="D755" s="35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5.75" customHeight="1" x14ac:dyDescent="0.2">
      <c r="B756" s="2"/>
      <c r="C756" s="2"/>
      <c r="D756" s="35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5.75" customHeight="1" x14ac:dyDescent="0.2">
      <c r="B757" s="2"/>
      <c r="C757" s="2"/>
      <c r="D757" s="35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5.75" customHeight="1" x14ac:dyDescent="0.2">
      <c r="B758" s="2"/>
      <c r="C758" s="2"/>
      <c r="D758" s="35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5.75" customHeight="1" x14ac:dyDescent="0.2">
      <c r="B759" s="2"/>
      <c r="C759" s="2"/>
      <c r="D759" s="35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5.75" customHeight="1" x14ac:dyDescent="0.2">
      <c r="B760" s="2"/>
      <c r="C760" s="2"/>
      <c r="D760" s="35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5.75" customHeight="1" x14ac:dyDescent="0.2">
      <c r="B761" s="2"/>
      <c r="C761" s="2"/>
      <c r="D761" s="35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5.75" customHeight="1" x14ac:dyDescent="0.2">
      <c r="B762" s="2"/>
      <c r="C762" s="2"/>
      <c r="D762" s="35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5.75" customHeight="1" x14ac:dyDescent="0.2">
      <c r="B763" s="2"/>
      <c r="C763" s="2"/>
      <c r="D763" s="35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5.75" customHeight="1" x14ac:dyDescent="0.2">
      <c r="B764" s="2"/>
      <c r="C764" s="2"/>
      <c r="D764" s="35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5.75" customHeight="1" x14ac:dyDescent="0.2">
      <c r="B765" s="2"/>
      <c r="C765" s="2"/>
      <c r="D765" s="35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5.75" customHeight="1" x14ac:dyDescent="0.2">
      <c r="B766" s="2"/>
      <c r="C766" s="2"/>
      <c r="D766" s="35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5.75" customHeight="1" x14ac:dyDescent="0.2">
      <c r="B767" s="2"/>
      <c r="C767" s="2"/>
      <c r="D767" s="35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5.75" customHeight="1" x14ac:dyDescent="0.2">
      <c r="B768" s="2"/>
      <c r="C768" s="2"/>
      <c r="D768" s="35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5.75" customHeight="1" x14ac:dyDescent="0.2">
      <c r="B769" s="2"/>
      <c r="C769" s="2"/>
      <c r="D769" s="35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5.75" customHeight="1" x14ac:dyDescent="0.2">
      <c r="B770" s="2"/>
      <c r="C770" s="2"/>
      <c r="D770" s="35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5.75" customHeight="1" x14ac:dyDescent="0.2">
      <c r="B771" s="2"/>
      <c r="C771" s="2"/>
      <c r="D771" s="35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5.75" customHeight="1" x14ac:dyDescent="0.2">
      <c r="B772" s="2"/>
      <c r="C772" s="2"/>
      <c r="D772" s="35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5.75" customHeight="1" x14ac:dyDescent="0.2">
      <c r="B773" s="2"/>
      <c r="C773" s="2"/>
      <c r="D773" s="35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5.75" customHeight="1" x14ac:dyDescent="0.2">
      <c r="B774" s="2"/>
      <c r="C774" s="2"/>
      <c r="D774" s="35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5.75" customHeight="1" x14ac:dyDescent="0.2">
      <c r="B775" s="2"/>
      <c r="C775" s="2"/>
      <c r="D775" s="35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5.75" customHeight="1" x14ac:dyDescent="0.2">
      <c r="B776" s="2"/>
      <c r="C776" s="2"/>
      <c r="D776" s="35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5.75" customHeight="1" x14ac:dyDescent="0.2">
      <c r="B777" s="2"/>
      <c r="C777" s="2"/>
      <c r="D777" s="35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5.75" customHeight="1" x14ac:dyDescent="0.2">
      <c r="B778" s="2"/>
      <c r="C778" s="2"/>
      <c r="D778" s="35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5.75" customHeight="1" x14ac:dyDescent="0.2">
      <c r="B779" s="2"/>
      <c r="C779" s="2"/>
      <c r="D779" s="35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5.75" customHeight="1" x14ac:dyDescent="0.2">
      <c r="B780" s="2"/>
      <c r="C780" s="2"/>
      <c r="D780" s="35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5.75" customHeight="1" x14ac:dyDescent="0.2">
      <c r="B781" s="2"/>
      <c r="C781" s="2"/>
      <c r="D781" s="35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5.75" customHeight="1" x14ac:dyDescent="0.2">
      <c r="B782" s="2"/>
      <c r="C782" s="2"/>
      <c r="D782" s="35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5.75" customHeight="1" x14ac:dyDescent="0.2">
      <c r="B783" s="2"/>
      <c r="C783" s="2"/>
      <c r="D783" s="35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5.75" customHeight="1" x14ac:dyDescent="0.2">
      <c r="B784" s="2"/>
      <c r="C784" s="2"/>
      <c r="D784" s="35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5.75" customHeight="1" x14ac:dyDescent="0.2">
      <c r="B785" s="2"/>
      <c r="C785" s="2"/>
      <c r="D785" s="35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5.75" customHeight="1" x14ac:dyDescent="0.2">
      <c r="B786" s="2"/>
      <c r="C786" s="2"/>
      <c r="D786" s="35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5.75" customHeight="1" x14ac:dyDescent="0.2">
      <c r="B787" s="2"/>
      <c r="C787" s="2"/>
      <c r="D787" s="35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5.75" customHeight="1" x14ac:dyDescent="0.2">
      <c r="B788" s="2"/>
      <c r="C788" s="2"/>
      <c r="D788" s="35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5.75" customHeight="1" x14ac:dyDescent="0.2">
      <c r="B789" s="2"/>
      <c r="C789" s="2"/>
      <c r="D789" s="35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5.75" customHeight="1" x14ac:dyDescent="0.2">
      <c r="B790" s="2"/>
      <c r="C790" s="2"/>
      <c r="D790" s="35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5.75" customHeight="1" x14ac:dyDescent="0.2">
      <c r="B791" s="2"/>
      <c r="C791" s="2"/>
      <c r="D791" s="35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5.75" customHeight="1" x14ac:dyDescent="0.2">
      <c r="B792" s="2"/>
      <c r="C792" s="2"/>
      <c r="D792" s="35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5.75" customHeight="1" x14ac:dyDescent="0.2">
      <c r="B793" s="2"/>
      <c r="C793" s="2"/>
      <c r="D793" s="35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5.75" customHeight="1" x14ac:dyDescent="0.2">
      <c r="B794" s="2"/>
      <c r="C794" s="2"/>
      <c r="D794" s="35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5.75" customHeight="1" x14ac:dyDescent="0.2">
      <c r="B795" s="2"/>
      <c r="C795" s="2"/>
      <c r="D795" s="35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5.75" customHeight="1" x14ac:dyDescent="0.2">
      <c r="B796" s="2"/>
      <c r="C796" s="2"/>
      <c r="D796" s="35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5.75" customHeight="1" x14ac:dyDescent="0.2">
      <c r="B797" s="2"/>
      <c r="C797" s="2"/>
      <c r="D797" s="35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5.75" customHeight="1" x14ac:dyDescent="0.2">
      <c r="B798" s="2"/>
      <c r="C798" s="2"/>
      <c r="D798" s="35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5.75" customHeight="1" x14ac:dyDescent="0.2">
      <c r="B799" s="2"/>
      <c r="C799" s="2"/>
      <c r="D799" s="35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5.75" customHeight="1" x14ac:dyDescent="0.2">
      <c r="B800" s="2"/>
      <c r="C800" s="2"/>
      <c r="D800" s="35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5.75" customHeight="1" x14ac:dyDescent="0.2">
      <c r="B801" s="2"/>
      <c r="C801" s="2"/>
      <c r="D801" s="35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5.75" customHeight="1" x14ac:dyDescent="0.2">
      <c r="B802" s="2"/>
      <c r="C802" s="2"/>
      <c r="D802" s="35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5.75" customHeight="1" x14ac:dyDescent="0.2">
      <c r="B803" s="2"/>
      <c r="C803" s="2"/>
      <c r="D803" s="35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5.75" customHeight="1" x14ac:dyDescent="0.2">
      <c r="B804" s="2"/>
      <c r="C804" s="2"/>
      <c r="D804" s="35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5.75" customHeight="1" x14ac:dyDescent="0.2">
      <c r="B805" s="2"/>
      <c r="C805" s="2"/>
      <c r="D805" s="35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5.75" customHeight="1" x14ac:dyDescent="0.2">
      <c r="B806" s="2"/>
      <c r="C806" s="2"/>
      <c r="D806" s="35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5.75" customHeight="1" x14ac:dyDescent="0.2">
      <c r="B807" s="2"/>
      <c r="C807" s="2"/>
      <c r="D807" s="35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5.75" customHeight="1" x14ac:dyDescent="0.2">
      <c r="B808" s="2"/>
      <c r="C808" s="2"/>
      <c r="D808" s="35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5.75" customHeight="1" x14ac:dyDescent="0.2">
      <c r="B809" s="2"/>
      <c r="C809" s="2"/>
      <c r="D809" s="35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5.75" customHeight="1" x14ac:dyDescent="0.2">
      <c r="B810" s="2"/>
      <c r="C810" s="2"/>
      <c r="D810" s="35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5.75" customHeight="1" x14ac:dyDescent="0.2">
      <c r="B811" s="2"/>
      <c r="C811" s="2"/>
      <c r="D811" s="35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5.75" customHeight="1" x14ac:dyDescent="0.2">
      <c r="B812" s="2"/>
      <c r="C812" s="2"/>
      <c r="D812" s="35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5.75" customHeight="1" x14ac:dyDescent="0.2">
      <c r="B813" s="2"/>
      <c r="C813" s="2"/>
      <c r="D813" s="35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5.75" customHeight="1" x14ac:dyDescent="0.2">
      <c r="B814" s="2"/>
      <c r="C814" s="2"/>
      <c r="D814" s="35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5.75" customHeight="1" x14ac:dyDescent="0.2">
      <c r="B815" s="2"/>
      <c r="C815" s="2"/>
      <c r="D815" s="35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5.75" customHeight="1" x14ac:dyDescent="0.2">
      <c r="B816" s="2"/>
      <c r="C816" s="2"/>
      <c r="D816" s="35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5.75" customHeight="1" x14ac:dyDescent="0.2">
      <c r="B817" s="2"/>
      <c r="C817" s="2"/>
      <c r="D817" s="35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5.75" customHeight="1" x14ac:dyDescent="0.2">
      <c r="B818" s="2"/>
      <c r="C818" s="2"/>
      <c r="D818" s="35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5.75" customHeight="1" x14ac:dyDescent="0.2">
      <c r="B819" s="2"/>
      <c r="C819" s="2"/>
      <c r="D819" s="35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5.75" customHeight="1" x14ac:dyDescent="0.2">
      <c r="B820" s="2"/>
      <c r="C820" s="2"/>
      <c r="D820" s="35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5.75" customHeight="1" x14ac:dyDescent="0.2">
      <c r="B821" s="2"/>
      <c r="C821" s="2"/>
      <c r="D821" s="35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5.75" customHeight="1" x14ac:dyDescent="0.2">
      <c r="B822" s="2"/>
      <c r="C822" s="2"/>
      <c r="D822" s="35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5.75" customHeight="1" x14ac:dyDescent="0.2">
      <c r="B823" s="2"/>
      <c r="C823" s="2"/>
      <c r="D823" s="35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5.75" customHeight="1" x14ac:dyDescent="0.2">
      <c r="B824" s="2"/>
      <c r="C824" s="2"/>
      <c r="D824" s="35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5.75" customHeight="1" x14ac:dyDescent="0.2">
      <c r="B825" s="2"/>
      <c r="C825" s="2"/>
      <c r="D825" s="35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5.75" customHeight="1" x14ac:dyDescent="0.2">
      <c r="B826" s="2"/>
      <c r="C826" s="2"/>
      <c r="D826" s="35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5.75" customHeight="1" x14ac:dyDescent="0.2">
      <c r="B827" s="2"/>
      <c r="C827" s="2"/>
      <c r="D827" s="35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5.75" customHeight="1" x14ac:dyDescent="0.2">
      <c r="B828" s="2"/>
      <c r="C828" s="2"/>
      <c r="D828" s="35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5.75" customHeight="1" x14ac:dyDescent="0.2">
      <c r="B829" s="2"/>
      <c r="C829" s="2"/>
      <c r="D829" s="35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5.75" customHeight="1" x14ac:dyDescent="0.2">
      <c r="B830" s="2"/>
      <c r="C830" s="2"/>
      <c r="D830" s="35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5.75" customHeight="1" x14ac:dyDescent="0.2">
      <c r="B831" s="2"/>
      <c r="C831" s="2"/>
      <c r="D831" s="35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5.75" customHeight="1" x14ac:dyDescent="0.2">
      <c r="B832" s="2"/>
      <c r="C832" s="2"/>
      <c r="D832" s="35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5.75" customHeight="1" x14ac:dyDescent="0.2">
      <c r="B833" s="2"/>
      <c r="C833" s="2"/>
      <c r="D833" s="35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5.75" customHeight="1" x14ac:dyDescent="0.2">
      <c r="B834" s="2"/>
      <c r="C834" s="2"/>
      <c r="D834" s="35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5.75" customHeight="1" x14ac:dyDescent="0.2">
      <c r="B835" s="2"/>
      <c r="C835" s="2"/>
      <c r="D835" s="35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5.75" customHeight="1" x14ac:dyDescent="0.2">
      <c r="B836" s="2"/>
      <c r="C836" s="2"/>
      <c r="D836" s="35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5.75" customHeight="1" x14ac:dyDescent="0.2">
      <c r="B837" s="2"/>
      <c r="C837" s="2"/>
      <c r="D837" s="35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5.75" customHeight="1" x14ac:dyDescent="0.2">
      <c r="B838" s="2"/>
      <c r="C838" s="2"/>
      <c r="D838" s="35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5.75" customHeight="1" x14ac:dyDescent="0.2">
      <c r="B839" s="2"/>
      <c r="C839" s="2"/>
      <c r="D839" s="35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5.75" customHeight="1" x14ac:dyDescent="0.2">
      <c r="B840" s="2"/>
      <c r="C840" s="2"/>
      <c r="D840" s="35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5.75" customHeight="1" x14ac:dyDescent="0.2">
      <c r="B841" s="2"/>
      <c r="C841" s="2"/>
      <c r="D841" s="35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5.75" customHeight="1" x14ac:dyDescent="0.2">
      <c r="B842" s="2"/>
      <c r="C842" s="2"/>
      <c r="D842" s="35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5.75" customHeight="1" x14ac:dyDescent="0.2">
      <c r="B843" s="2"/>
      <c r="C843" s="2"/>
      <c r="D843" s="35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5.75" customHeight="1" x14ac:dyDescent="0.2">
      <c r="B844" s="2"/>
      <c r="C844" s="2"/>
      <c r="D844" s="35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5.75" customHeight="1" x14ac:dyDescent="0.2">
      <c r="B845" s="2"/>
      <c r="C845" s="2"/>
      <c r="D845" s="35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5.75" customHeight="1" x14ac:dyDescent="0.2">
      <c r="B846" s="2"/>
      <c r="C846" s="2"/>
      <c r="D846" s="35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5.75" customHeight="1" x14ac:dyDescent="0.2">
      <c r="B847" s="2"/>
      <c r="C847" s="2"/>
      <c r="D847" s="35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5.75" customHeight="1" x14ac:dyDescent="0.2">
      <c r="B848" s="2"/>
      <c r="C848" s="2"/>
      <c r="D848" s="35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5.75" customHeight="1" x14ac:dyDescent="0.2">
      <c r="B849" s="2"/>
      <c r="C849" s="2"/>
      <c r="D849" s="35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5.75" customHeight="1" x14ac:dyDescent="0.2">
      <c r="B850" s="2"/>
      <c r="C850" s="2"/>
      <c r="D850" s="35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5.75" customHeight="1" x14ac:dyDescent="0.2">
      <c r="B851" s="2"/>
      <c r="C851" s="2"/>
      <c r="D851" s="35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5.75" customHeight="1" x14ac:dyDescent="0.2">
      <c r="B852" s="2"/>
      <c r="C852" s="2"/>
      <c r="D852" s="35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5.75" customHeight="1" x14ac:dyDescent="0.2">
      <c r="B853" s="2"/>
      <c r="C853" s="2"/>
      <c r="D853" s="35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5.75" customHeight="1" x14ac:dyDescent="0.2">
      <c r="B854" s="2"/>
      <c r="C854" s="2"/>
      <c r="D854" s="35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5.75" customHeight="1" x14ac:dyDescent="0.2">
      <c r="B855" s="2"/>
      <c r="C855" s="2"/>
      <c r="D855" s="35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5.75" customHeight="1" x14ac:dyDescent="0.2">
      <c r="B856" s="2"/>
      <c r="C856" s="2"/>
      <c r="D856" s="35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5.75" customHeight="1" x14ac:dyDescent="0.2">
      <c r="B857" s="2"/>
      <c r="C857" s="2"/>
      <c r="D857" s="35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5.75" customHeight="1" x14ac:dyDescent="0.2">
      <c r="B858" s="2"/>
      <c r="C858" s="2"/>
      <c r="D858" s="35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5.75" customHeight="1" x14ac:dyDescent="0.2">
      <c r="B859" s="2"/>
      <c r="C859" s="2"/>
      <c r="D859" s="35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5.75" customHeight="1" x14ac:dyDescent="0.2">
      <c r="B860" s="2"/>
      <c r="C860" s="2"/>
      <c r="D860" s="35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5.75" customHeight="1" x14ac:dyDescent="0.2">
      <c r="B861" s="2"/>
      <c r="C861" s="2"/>
      <c r="D861" s="35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5.75" customHeight="1" x14ac:dyDescent="0.2">
      <c r="B862" s="2"/>
      <c r="C862" s="2"/>
      <c r="D862" s="35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5.75" customHeight="1" x14ac:dyDescent="0.2">
      <c r="B863" s="2"/>
      <c r="C863" s="2"/>
      <c r="D863" s="35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5.75" customHeight="1" x14ac:dyDescent="0.2">
      <c r="B864" s="2"/>
      <c r="C864" s="2"/>
      <c r="D864" s="35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5.75" customHeight="1" x14ac:dyDescent="0.2">
      <c r="B865" s="2"/>
      <c r="C865" s="2"/>
      <c r="D865" s="35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5.75" customHeight="1" x14ac:dyDescent="0.2">
      <c r="B866" s="2"/>
      <c r="C866" s="2"/>
      <c r="D866" s="35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5.75" customHeight="1" x14ac:dyDescent="0.2">
      <c r="B867" s="2"/>
      <c r="C867" s="2"/>
      <c r="D867" s="3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5.75" customHeight="1" x14ac:dyDescent="0.2">
      <c r="B868" s="2"/>
      <c r="C868" s="2"/>
      <c r="D868" s="3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5.75" customHeight="1" x14ac:dyDescent="0.2">
      <c r="B869" s="2"/>
      <c r="C869" s="2"/>
      <c r="D869" s="3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5.75" customHeight="1" x14ac:dyDescent="0.2">
      <c r="B870" s="2"/>
      <c r="C870" s="2"/>
      <c r="D870" s="3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5.75" customHeight="1" x14ac:dyDescent="0.2">
      <c r="B871" s="2"/>
      <c r="C871" s="2"/>
      <c r="D871" s="3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5.75" customHeight="1" x14ac:dyDescent="0.2">
      <c r="B872" s="2"/>
      <c r="C872" s="2"/>
      <c r="D872" s="3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5.75" customHeight="1" x14ac:dyDescent="0.2">
      <c r="B873" s="2"/>
      <c r="C873" s="2"/>
      <c r="D873" s="3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5.75" customHeight="1" x14ac:dyDescent="0.2">
      <c r="B874" s="2"/>
      <c r="C874" s="2"/>
      <c r="D874" s="3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5.75" customHeight="1" x14ac:dyDescent="0.2">
      <c r="B875" s="2"/>
      <c r="C875" s="2"/>
      <c r="D875" s="3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5.75" customHeight="1" x14ac:dyDescent="0.2">
      <c r="B876" s="2"/>
      <c r="C876" s="2"/>
      <c r="D876" s="3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5.75" customHeight="1" x14ac:dyDescent="0.2">
      <c r="B877" s="2"/>
      <c r="C877" s="2"/>
      <c r="D877" s="3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5.75" customHeight="1" x14ac:dyDescent="0.2">
      <c r="B878" s="2"/>
      <c r="C878" s="2"/>
      <c r="D878" s="3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5.75" customHeight="1" x14ac:dyDescent="0.2">
      <c r="B879" s="2"/>
      <c r="C879" s="2"/>
      <c r="D879" s="3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5.75" customHeight="1" x14ac:dyDescent="0.2">
      <c r="B880" s="2"/>
      <c r="C880" s="2"/>
      <c r="D880" s="3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5.75" customHeight="1" x14ac:dyDescent="0.2">
      <c r="B881" s="2"/>
      <c r="C881" s="2"/>
      <c r="D881" s="3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5.75" customHeight="1" x14ac:dyDescent="0.2">
      <c r="B882" s="2"/>
      <c r="C882" s="2"/>
      <c r="D882" s="35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5.75" customHeight="1" x14ac:dyDescent="0.2">
      <c r="B883" s="2"/>
      <c r="C883" s="2"/>
      <c r="D883" s="35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5.75" customHeight="1" x14ac:dyDescent="0.2">
      <c r="B884" s="2"/>
      <c r="C884" s="2"/>
      <c r="D884" s="35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5.75" customHeight="1" x14ac:dyDescent="0.2">
      <c r="B885" s="2"/>
      <c r="C885" s="2"/>
      <c r="D885" s="35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5.75" customHeight="1" x14ac:dyDescent="0.2">
      <c r="B886" s="2"/>
      <c r="C886" s="2"/>
      <c r="D886" s="35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5.75" customHeight="1" x14ac:dyDescent="0.2">
      <c r="B887" s="2"/>
      <c r="C887" s="2"/>
      <c r="D887" s="35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5.75" customHeight="1" x14ac:dyDescent="0.2">
      <c r="B888" s="2"/>
      <c r="C888" s="2"/>
      <c r="D888" s="35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5.75" customHeight="1" x14ac:dyDescent="0.2">
      <c r="B889" s="2"/>
      <c r="C889" s="2"/>
      <c r="D889" s="35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5.75" customHeight="1" x14ac:dyDescent="0.2">
      <c r="B890" s="2"/>
      <c r="C890" s="2"/>
      <c r="D890" s="35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5.75" customHeight="1" x14ac:dyDescent="0.2">
      <c r="B891" s="2"/>
      <c r="C891" s="2"/>
      <c r="D891" s="35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5.75" customHeight="1" x14ac:dyDescent="0.2">
      <c r="B892" s="2"/>
      <c r="C892" s="2"/>
      <c r="D892" s="35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5.75" customHeight="1" x14ac:dyDescent="0.2">
      <c r="B893" s="2"/>
      <c r="C893" s="2"/>
      <c r="D893" s="35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5.75" customHeight="1" x14ac:dyDescent="0.2">
      <c r="B894" s="2"/>
      <c r="C894" s="2"/>
      <c r="D894" s="35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5.75" customHeight="1" x14ac:dyDescent="0.2">
      <c r="B895" s="2"/>
      <c r="C895" s="2"/>
      <c r="D895" s="3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5.75" customHeight="1" x14ac:dyDescent="0.2">
      <c r="B896" s="2"/>
      <c r="C896" s="2"/>
      <c r="D896" s="3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5.75" customHeight="1" x14ac:dyDescent="0.2">
      <c r="B897" s="2"/>
      <c r="C897" s="2"/>
      <c r="D897" s="3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5.75" customHeight="1" x14ac:dyDescent="0.2">
      <c r="B898" s="2"/>
      <c r="C898" s="2"/>
      <c r="D898" s="3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5.75" customHeight="1" x14ac:dyDescent="0.2">
      <c r="B899" s="2"/>
      <c r="C899" s="2"/>
      <c r="D899" s="3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5.75" customHeight="1" x14ac:dyDescent="0.2">
      <c r="B900" s="2"/>
      <c r="C900" s="2"/>
      <c r="D900" s="3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5.75" customHeight="1" x14ac:dyDescent="0.2">
      <c r="B901" s="2"/>
      <c r="C901" s="2"/>
      <c r="D901" s="3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5.75" customHeight="1" x14ac:dyDescent="0.2">
      <c r="B902" s="2"/>
      <c r="C902" s="2"/>
      <c r="D902" s="3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5.75" customHeight="1" x14ac:dyDescent="0.2">
      <c r="B903" s="2"/>
      <c r="C903" s="2"/>
      <c r="D903" s="3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5.75" customHeight="1" x14ac:dyDescent="0.2">
      <c r="B904" s="2"/>
      <c r="C904" s="2"/>
      <c r="D904" s="3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5.75" customHeight="1" x14ac:dyDescent="0.2">
      <c r="B905" s="2"/>
      <c r="C905" s="2"/>
      <c r="D905" s="3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5.75" customHeight="1" x14ac:dyDescent="0.2">
      <c r="B906" s="2"/>
      <c r="C906" s="2"/>
      <c r="D906" s="3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5.75" customHeight="1" x14ac:dyDescent="0.2">
      <c r="B907" s="2"/>
      <c r="C907" s="2"/>
      <c r="D907" s="3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5.75" customHeight="1" x14ac:dyDescent="0.2">
      <c r="B908" s="2"/>
      <c r="C908" s="2"/>
      <c r="D908" s="3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5.75" customHeight="1" x14ac:dyDescent="0.2">
      <c r="B909" s="2"/>
      <c r="C909" s="2"/>
      <c r="D909" s="3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5.75" customHeight="1" x14ac:dyDescent="0.2">
      <c r="B910" s="2"/>
      <c r="C910" s="2"/>
      <c r="D910" s="3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5.75" customHeight="1" x14ac:dyDescent="0.2">
      <c r="B911" s="2"/>
      <c r="C911" s="2"/>
      <c r="D911" s="3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5.75" customHeight="1" x14ac:dyDescent="0.2">
      <c r="B912" s="2"/>
      <c r="C912" s="2"/>
      <c r="D912" s="3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5.75" customHeight="1" x14ac:dyDescent="0.2">
      <c r="B913" s="2"/>
      <c r="C913" s="2"/>
      <c r="D913" s="3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5.75" customHeight="1" x14ac:dyDescent="0.2">
      <c r="B914" s="2"/>
      <c r="C914" s="2"/>
      <c r="D914" s="3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5.75" customHeight="1" x14ac:dyDescent="0.2">
      <c r="B915" s="2"/>
      <c r="C915" s="2"/>
      <c r="D915" s="3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5.75" customHeight="1" x14ac:dyDescent="0.2">
      <c r="B916" s="2"/>
      <c r="C916" s="2"/>
      <c r="D916" s="3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5.75" customHeight="1" x14ac:dyDescent="0.2">
      <c r="B917" s="2"/>
      <c r="C917" s="2"/>
      <c r="D917" s="3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5.75" customHeight="1" x14ac:dyDescent="0.2">
      <c r="B918" s="2"/>
      <c r="C918" s="2"/>
      <c r="D918" s="3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5.75" customHeight="1" x14ac:dyDescent="0.2">
      <c r="B919" s="2"/>
      <c r="C919" s="2"/>
      <c r="D919" s="3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5.75" customHeight="1" x14ac:dyDescent="0.2">
      <c r="B920" s="2"/>
      <c r="C920" s="2"/>
      <c r="D920" s="3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5.75" customHeight="1" x14ac:dyDescent="0.2">
      <c r="B921" s="2"/>
      <c r="C921" s="2"/>
      <c r="D921" s="3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5.75" customHeight="1" x14ac:dyDescent="0.2">
      <c r="B922" s="2"/>
      <c r="C922" s="2"/>
      <c r="D922" s="3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5.75" customHeight="1" x14ac:dyDescent="0.2">
      <c r="B923" s="2"/>
      <c r="C923" s="2"/>
      <c r="D923" s="3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5.75" customHeight="1" x14ac:dyDescent="0.2">
      <c r="B924" s="2"/>
      <c r="C924" s="2"/>
      <c r="D924" s="3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5.75" customHeight="1" x14ac:dyDescent="0.2">
      <c r="B925" s="2"/>
      <c r="C925" s="2"/>
      <c r="D925" s="3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5.75" customHeight="1" x14ac:dyDescent="0.2">
      <c r="B926" s="2"/>
      <c r="C926" s="2"/>
      <c r="D926" s="3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5.75" customHeight="1" x14ac:dyDescent="0.2">
      <c r="B927" s="2"/>
      <c r="C927" s="2"/>
      <c r="D927" s="3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5.75" customHeight="1" x14ac:dyDescent="0.2">
      <c r="B928" s="2"/>
      <c r="C928" s="2"/>
      <c r="D928" s="3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5.75" customHeight="1" x14ac:dyDescent="0.2">
      <c r="B929" s="2"/>
      <c r="C929" s="2"/>
      <c r="D929" s="3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5.75" customHeight="1" x14ac:dyDescent="0.2">
      <c r="B930" s="2"/>
      <c r="C930" s="2"/>
      <c r="D930" s="3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5.75" customHeight="1" x14ac:dyDescent="0.2">
      <c r="B931" s="2"/>
      <c r="C931" s="2"/>
      <c r="D931" s="3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5.75" customHeight="1" x14ac:dyDescent="0.2">
      <c r="B932" s="2"/>
      <c r="C932" s="2"/>
      <c r="D932" s="3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5.75" customHeight="1" x14ac:dyDescent="0.2">
      <c r="B933" s="2"/>
      <c r="C933" s="2"/>
      <c r="D933" s="3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5.75" customHeight="1" x14ac:dyDescent="0.2">
      <c r="B934" s="2"/>
      <c r="C934" s="2"/>
      <c r="D934" s="3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5.75" customHeight="1" x14ac:dyDescent="0.2">
      <c r="B935" s="2"/>
      <c r="C935" s="2"/>
      <c r="D935" s="3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5.75" customHeight="1" x14ac:dyDescent="0.2">
      <c r="B936" s="2"/>
      <c r="C936" s="2"/>
      <c r="D936" s="3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5.75" customHeight="1" x14ac:dyDescent="0.2">
      <c r="B937" s="2"/>
      <c r="C937" s="2"/>
      <c r="D937" s="3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5.75" customHeight="1" x14ac:dyDescent="0.2">
      <c r="B938" s="2"/>
      <c r="C938" s="2"/>
      <c r="D938" s="3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5.75" customHeight="1" x14ac:dyDescent="0.2">
      <c r="B939" s="2"/>
      <c r="C939" s="2"/>
      <c r="D939" s="3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5.75" customHeight="1" x14ac:dyDescent="0.2">
      <c r="B940" s="2"/>
      <c r="C940" s="2"/>
      <c r="D940" s="3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5.75" customHeight="1" x14ac:dyDescent="0.2">
      <c r="B941" s="2"/>
      <c r="C941" s="2"/>
      <c r="D941" s="3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5.75" customHeight="1" x14ac:dyDescent="0.2">
      <c r="B942" s="2"/>
      <c r="C942" s="2"/>
      <c r="D942" s="3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5.75" customHeight="1" x14ac:dyDescent="0.2">
      <c r="B943" s="2"/>
      <c r="C943" s="2"/>
      <c r="D943" s="3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5.75" customHeight="1" x14ac:dyDescent="0.2">
      <c r="B944" s="2"/>
      <c r="C944" s="2"/>
      <c r="D944" s="3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5.75" customHeight="1" x14ac:dyDescent="0.2">
      <c r="B945" s="2"/>
      <c r="C945" s="2"/>
      <c r="D945" s="3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5.75" customHeight="1" x14ac:dyDescent="0.2">
      <c r="B946" s="2"/>
      <c r="C946" s="2"/>
      <c r="D946" s="3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5.75" customHeight="1" x14ac:dyDescent="0.2">
      <c r="B947" s="2"/>
      <c r="C947" s="2"/>
      <c r="D947" s="3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5.75" customHeight="1" x14ac:dyDescent="0.2">
      <c r="B948" s="2"/>
      <c r="C948" s="2"/>
      <c r="D948" s="3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5.75" customHeight="1" x14ac:dyDescent="0.2">
      <c r="B949" s="2"/>
      <c r="C949" s="2"/>
      <c r="D949" s="3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5.75" customHeight="1" x14ac:dyDescent="0.2">
      <c r="B950" s="2"/>
      <c r="C950" s="2"/>
      <c r="D950" s="3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5.75" customHeight="1" x14ac:dyDescent="0.2">
      <c r="B951" s="2"/>
      <c r="C951" s="2"/>
      <c r="D951" s="3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5.75" customHeight="1" x14ac:dyDescent="0.2">
      <c r="B952" s="2"/>
      <c r="C952" s="2"/>
      <c r="D952" s="3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5.75" customHeight="1" x14ac:dyDescent="0.2">
      <c r="B953" s="2"/>
      <c r="C953" s="2"/>
      <c r="D953" s="3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5.75" customHeight="1" x14ac:dyDescent="0.2">
      <c r="B954" s="2"/>
      <c r="C954" s="2"/>
      <c r="D954" s="3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5.75" customHeight="1" x14ac:dyDescent="0.2">
      <c r="B955" s="2"/>
      <c r="C955" s="2"/>
      <c r="D955" s="3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5.75" customHeight="1" x14ac:dyDescent="0.2">
      <c r="B956" s="2"/>
      <c r="C956" s="2"/>
      <c r="D956" s="3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5.75" customHeight="1" x14ac:dyDescent="0.2">
      <c r="B957" s="2"/>
      <c r="C957" s="2"/>
      <c r="D957" s="3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5.75" customHeight="1" x14ac:dyDescent="0.2">
      <c r="B958" s="2"/>
      <c r="C958" s="2"/>
      <c r="D958" s="3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5.75" customHeight="1" x14ac:dyDescent="0.2">
      <c r="B959" s="2"/>
      <c r="C959" s="2"/>
      <c r="D959" s="3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5.75" customHeight="1" x14ac:dyDescent="0.2">
      <c r="B960" s="2"/>
      <c r="C960" s="2"/>
      <c r="D960" s="3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5.75" customHeight="1" x14ac:dyDescent="0.2">
      <c r="B961" s="2"/>
      <c r="C961" s="2"/>
      <c r="D961" s="3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5.75" customHeight="1" x14ac:dyDescent="0.2">
      <c r="B962" s="2"/>
      <c r="C962" s="2"/>
      <c r="D962" s="3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5.75" customHeight="1" x14ac:dyDescent="0.2">
      <c r="B963" s="2"/>
      <c r="C963" s="2"/>
      <c r="D963" s="3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5.75" customHeight="1" x14ac:dyDescent="0.2">
      <c r="B964" s="2"/>
      <c r="C964" s="2"/>
      <c r="D964" s="3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5.75" customHeight="1" x14ac:dyDescent="0.2">
      <c r="B965" s="2"/>
      <c r="C965" s="2"/>
      <c r="D965" s="3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5.75" customHeight="1" x14ac:dyDescent="0.2">
      <c r="B966" s="2"/>
      <c r="C966" s="2"/>
      <c r="D966" s="3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5.75" customHeight="1" x14ac:dyDescent="0.2">
      <c r="B967" s="2"/>
      <c r="C967" s="2"/>
      <c r="D967" s="3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5.75" customHeight="1" x14ac:dyDescent="0.2">
      <c r="B968" s="2"/>
      <c r="C968" s="2"/>
      <c r="D968" s="3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5.75" customHeight="1" x14ac:dyDescent="0.2">
      <c r="B969" s="2"/>
      <c r="C969" s="2"/>
      <c r="D969" s="3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5.75" customHeight="1" x14ac:dyDescent="0.2">
      <c r="B970" s="2"/>
      <c r="C970" s="2"/>
      <c r="D970" s="3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5.75" customHeight="1" x14ac:dyDescent="0.2">
      <c r="B971" s="2"/>
      <c r="C971" s="2"/>
      <c r="D971" s="3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5.75" customHeight="1" x14ac:dyDescent="0.2">
      <c r="B972" s="2"/>
      <c r="C972" s="2"/>
      <c r="D972" s="3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5.75" customHeight="1" x14ac:dyDescent="0.2">
      <c r="B973" s="2"/>
      <c r="C973" s="2"/>
      <c r="D973" s="3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5.75" customHeight="1" x14ac:dyDescent="0.2">
      <c r="B974" s="2"/>
      <c r="C974" s="2"/>
      <c r="D974" s="3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5.75" customHeight="1" x14ac:dyDescent="0.2">
      <c r="B975" s="2"/>
      <c r="C975" s="2"/>
      <c r="D975" s="3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</sheetData>
  <mergeCells count="6">
    <mergeCell ref="B27:G27"/>
    <mergeCell ref="B2:C2"/>
    <mergeCell ref="C17:G17"/>
    <mergeCell ref="F10:G10"/>
    <mergeCell ref="F12:G12"/>
    <mergeCell ref="B25:G25"/>
  </mergeCells>
  <phoneticPr fontId="16" type="noConversion"/>
  <pageMargins left="0.7" right="0.7" top="0.75" bottom="0.75" header="0.3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Deyvis Garcia</dc:creator>
  <cp:lastModifiedBy>Pablo H. Pereira Magnere</cp:lastModifiedBy>
  <cp:lastPrinted>2025-01-28T15:43:55Z</cp:lastPrinted>
  <dcterms:created xsi:type="dcterms:W3CDTF">2021-02-19T18:58:02Z</dcterms:created>
  <dcterms:modified xsi:type="dcterms:W3CDTF">2025-01-28T16:16:30Z</dcterms:modified>
</cp:coreProperties>
</file>